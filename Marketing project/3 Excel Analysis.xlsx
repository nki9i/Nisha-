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custom-properties+xml" PartName="/docProps/custom.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 Data" sheetId="1" r:id="rId4"/>
    <sheet state="visible" name="Response" sheetId="2" r:id="rId5"/>
    <sheet state="visible" name="Questionare" sheetId="3" r:id="rId6"/>
    <sheet state="visible" name="Regression Matrix&amp;Data" sheetId="4" r:id="rId7"/>
    <sheet state="visible" name="A - all 10" sheetId="5" r:id="rId8"/>
    <sheet state="visible" name="A - pick 1" sheetId="6" r:id="rId9"/>
    <sheet state="visible" name="B" sheetId="7" r:id="rId10"/>
    <sheet state="visible" name="C" sheetId="8" r:id="rId11"/>
    <sheet state="visible" name="D" sheetId="9" r:id="rId12"/>
    <sheet state="visible" name="Choice Calculation D" sheetId="10" r:id="rId13"/>
    <sheet state="visible" name="Choice Calculation E" sheetId="11" r:id="rId14"/>
    <sheet state="visible" name="Market Prediction" sheetId="12" r:id="rId15"/>
  </sheets>
  <externalReferences>
    <externalReference r:id="rId16"/>
    <externalReference r:id="rId17"/>
  </externalReferences>
  <definedNames/>
  <calcPr/>
  <pivotCaches>
    <pivotCache cacheId="0" r:id="rId18"/>
    <pivotCache cacheId="1" r:id="rId19"/>
  </pivotCaches>
  <extLst>
    <ext uri="GoogleSheetsCustomDataVersion2">
      <go:sheetsCustomData xmlns:go="http://customooxmlschemas.google.com/" r:id="rId20" roundtripDataChecksum="HAMNZAZFtKI6rsNSIaYzwMd2AGx0zmI3csIW7bJ+5BY="/>
    </ext>
  </extLst>
</workbook>
</file>

<file path=xl/sharedStrings.xml><?xml version="1.0" encoding="utf-8"?>
<sst xmlns="http://schemas.openxmlformats.org/spreadsheetml/2006/main" count="1130" uniqueCount="248">
  <si>
    <t>Timestamp</t>
  </si>
  <si>
    <t>Email Address</t>
  </si>
  <si>
    <t>For your interested credit card, please rate on a 1–7 preference scale about how much importance you would give to the following features, where:</t>
  </si>
  <si>
    <t>1. Rate the described credit card below:</t>
  </si>
  <si>
    <t>2. Rate the described credit card below:</t>
  </si>
  <si>
    <t>3. Rate the described credit card below:</t>
  </si>
  <si>
    <t>4. Rate the described credit card below:</t>
  </si>
  <si>
    <t>5. Rate the described credit card below:</t>
  </si>
  <si>
    <t>6. Rate the described credit card below:</t>
  </si>
  <si>
    <t>7. Rate the described credit card below:</t>
  </si>
  <si>
    <t>8. Rate the described credit card below:</t>
  </si>
  <si>
    <t>9. Rate the described credit card below:</t>
  </si>
  <si>
    <t>10. Rate the described credit card below:</t>
  </si>
  <si>
    <t>11. Rate the described credit card below:</t>
  </si>
  <si>
    <t>12. Rate the described credit card below:</t>
  </si>
  <si>
    <t>13. Rate the described credit card below:</t>
  </si>
  <si>
    <t>14. Rate the described credit card below:</t>
  </si>
  <si>
    <t>15. Rate the described credit card below:</t>
  </si>
  <si>
    <r>
      <rPr>
        <rFont val="Arial"/>
        <b/>
        <color theme="1"/>
        <sz val="10.0"/>
      </rPr>
      <t>1 = Not Important  7 = Very Important</t>
    </r>
    <r>
      <rPr>
        <rFont val="Arial"/>
        <b val="0"/>
        <color theme="1"/>
        <sz val="10.0"/>
      </rPr>
      <t>[Annual Fee]</t>
    </r>
  </si>
  <si>
    <r>
      <rPr>
        <rFont val="Arial"/>
        <b/>
        <color theme="1"/>
        <sz val="10.0"/>
      </rPr>
      <t>1 = Not Important  7 = Very Important</t>
    </r>
    <r>
      <rPr>
        <rFont val="Arial"/>
        <b val="0"/>
        <color theme="1"/>
        <sz val="10.0"/>
      </rPr>
      <t>[Reward Type]</t>
    </r>
  </si>
  <si>
    <r>
      <rPr>
        <rFont val="Arial"/>
        <b/>
        <color theme="1"/>
        <sz val="10.0"/>
      </rPr>
      <t>1 = Not Important  7 = Very Important</t>
    </r>
    <r>
      <rPr>
        <rFont val="Arial"/>
        <b val="0"/>
        <color theme="1"/>
        <sz val="10.0"/>
      </rPr>
      <t>[Sign-Up Bonus]</t>
    </r>
  </si>
  <si>
    <r>
      <rPr>
        <rFont val="Arial"/>
        <b/>
        <color theme="1"/>
        <sz val="10.0"/>
      </rPr>
      <t>1 = Not Important  7 = Very Important</t>
    </r>
    <r>
      <rPr>
        <rFont val="Arial"/>
        <b val="0"/>
        <color theme="1"/>
        <sz val="10.0"/>
      </rPr>
      <t>[Card Network / Type]</t>
    </r>
  </si>
  <si>
    <r>
      <rPr>
        <rFont val="Arial"/>
        <b/>
        <color theme="1"/>
        <sz val="10.0"/>
      </rPr>
      <t>1 = Not Important  7 = Very Important</t>
    </r>
    <r>
      <rPr>
        <rFont val="Arial"/>
        <b val="0"/>
        <color theme="1"/>
        <sz val="10.0"/>
      </rPr>
      <t>[Interest Rate (APR%)]</t>
    </r>
  </si>
  <si>
    <r>
      <rPr>
        <rFont val="Arial"/>
        <color theme="1"/>
        <sz val="10.0"/>
      </rPr>
      <t>Annual Fee: </t>
    </r>
    <r>
      <rPr>
        <rFont val="Arial"/>
        <b/>
        <color theme="1"/>
        <sz val="10.0"/>
      </rPr>
      <t>$100</t>
    </r>
  </si>
  <si>
    <r>
      <rPr>
        <rFont val="Arial"/>
        <color theme="1"/>
        <sz val="10.0"/>
      </rPr>
      <t>Annual Fee: </t>
    </r>
    <r>
      <rPr>
        <rFont val="Arial"/>
        <b/>
        <color theme="1"/>
        <sz val="10.0"/>
      </rPr>
      <t>$0</t>
    </r>
  </si>
  <si>
    <r>
      <rPr>
        <rFont val="Arial"/>
        <color theme="1"/>
        <sz val="10.0"/>
      </rPr>
      <t>Annual Fee: </t>
    </r>
    <r>
      <rPr>
        <rFont val="Arial"/>
        <b/>
        <color theme="1"/>
        <sz val="10.0"/>
      </rPr>
      <t>$0</t>
    </r>
  </si>
  <si>
    <r>
      <rPr>
        <rFont val="Arial"/>
        <color theme="1"/>
        <sz val="10.0"/>
      </rPr>
      <t>Annual Fee: </t>
    </r>
    <r>
      <rPr>
        <rFont val="Arial"/>
        <b/>
        <color theme="1"/>
        <sz val="10.0"/>
      </rPr>
      <t>$50</t>
    </r>
  </si>
  <si>
    <r>
      <rPr>
        <rFont val="Arial"/>
        <color theme="1"/>
        <sz val="10.0"/>
      </rPr>
      <t>Annual Fee: </t>
    </r>
    <r>
      <rPr>
        <rFont val="Arial"/>
        <b/>
        <color theme="1"/>
        <sz val="10.0"/>
      </rPr>
      <t>$0</t>
    </r>
  </si>
  <si>
    <r>
      <rPr>
        <rFont val="Arial"/>
        <color theme="1"/>
        <sz val="10.0"/>
      </rPr>
      <t>Annual Fee: </t>
    </r>
    <r>
      <rPr>
        <rFont val="Arial"/>
        <b/>
        <color theme="1"/>
        <sz val="10.0"/>
      </rPr>
      <t>$100</t>
    </r>
  </si>
  <si>
    <r>
      <rPr>
        <rFont val="Arial"/>
        <color theme="1"/>
        <sz val="10.0"/>
      </rPr>
      <t>Annual Fee: </t>
    </r>
    <r>
      <rPr>
        <rFont val="Arial"/>
        <b/>
        <color theme="1"/>
        <sz val="10.0"/>
      </rPr>
      <t>$100</t>
    </r>
  </si>
  <si>
    <r>
      <rPr>
        <rFont val="Arial"/>
        <color theme="1"/>
        <sz val="10.0"/>
      </rPr>
      <t>Annual Fee: </t>
    </r>
    <r>
      <rPr>
        <rFont val="Arial"/>
        <b/>
        <color theme="1"/>
        <sz val="10.0"/>
      </rPr>
      <t>$100</t>
    </r>
  </si>
  <si>
    <r>
      <rPr>
        <rFont val="Arial"/>
        <color theme="1"/>
        <sz val="10.0"/>
      </rPr>
      <t>Annual Fee: </t>
    </r>
    <r>
      <rPr>
        <rFont val="Arial"/>
        <b/>
        <color theme="1"/>
        <sz val="10.0"/>
      </rPr>
      <t>$100</t>
    </r>
  </si>
  <si>
    <r>
      <rPr>
        <rFont val="Arial"/>
        <color theme="1"/>
        <sz val="10.0"/>
      </rPr>
      <t>Annual Fee: </t>
    </r>
    <r>
      <rPr>
        <rFont val="Arial"/>
        <b/>
        <color theme="1"/>
        <sz val="10.0"/>
      </rPr>
      <t>$50</t>
    </r>
  </si>
  <si>
    <r>
      <rPr>
        <rFont val="Arial"/>
        <color theme="1"/>
        <sz val="10.0"/>
      </rPr>
      <t>Annual Fee: </t>
    </r>
    <r>
      <rPr>
        <rFont val="Arial"/>
        <b/>
        <color theme="1"/>
        <sz val="10.0"/>
      </rPr>
      <t>$0</t>
    </r>
  </si>
  <si>
    <r>
      <rPr>
        <rFont val="Arial"/>
        <color theme="1"/>
        <sz val="10.0"/>
      </rPr>
      <t>Annual Fee: </t>
    </r>
    <r>
      <rPr>
        <rFont val="Arial"/>
        <b/>
        <color theme="1"/>
        <sz val="10.0"/>
      </rPr>
      <t>$50</t>
    </r>
  </si>
  <si>
    <r>
      <rPr>
        <rFont val="Arial"/>
        <color theme="1"/>
        <sz val="10.0"/>
      </rPr>
      <t>Annual Fee: </t>
    </r>
    <r>
      <rPr>
        <rFont val="Arial"/>
        <b/>
        <color theme="1"/>
        <sz val="10.0"/>
      </rPr>
      <t>$50</t>
    </r>
  </si>
  <si>
    <r>
      <rPr>
        <rFont val="Arial"/>
        <color theme="1"/>
        <sz val="10.0"/>
      </rPr>
      <t>Annual Fee: </t>
    </r>
    <r>
      <rPr>
        <rFont val="Arial"/>
        <b/>
        <color theme="1"/>
        <sz val="10.0"/>
      </rPr>
      <t>$0</t>
    </r>
  </si>
  <si>
    <r>
      <rPr>
        <rFont val="Arial"/>
        <color theme="1"/>
        <sz val="10.0"/>
      </rPr>
      <t>Annual Fee: </t>
    </r>
    <r>
      <rPr>
        <rFont val="Arial"/>
        <b/>
        <color theme="1"/>
        <sz val="10.0"/>
      </rPr>
      <t>$0</t>
    </r>
  </si>
  <si>
    <r>
      <rPr>
        <rFont val="Arial"/>
        <color theme="1"/>
        <sz val="10.0"/>
      </rPr>
      <t>Reward Type: </t>
    </r>
    <r>
      <rPr>
        <rFont val="Arial"/>
        <b/>
        <color theme="1"/>
        <sz val="10.0"/>
      </rPr>
      <t>Dining &amp; Grocery Cashback (3%)</t>
    </r>
  </si>
  <si>
    <r>
      <rPr>
        <rFont val="Arial"/>
        <color theme="1"/>
        <sz val="10.0"/>
      </rPr>
      <t>Reward Type: </t>
    </r>
    <r>
      <rPr>
        <rFont val="Arial"/>
        <b/>
        <color theme="1"/>
        <sz val="10.0"/>
      </rPr>
      <t>Travel &amp; Transportation Cashback (2%)</t>
    </r>
  </si>
  <si>
    <r>
      <rPr>
        <rFont val="Arial"/>
        <color theme="1"/>
        <sz val="10.0"/>
      </rPr>
      <t>Reward Type: </t>
    </r>
    <r>
      <rPr>
        <rFont val="Arial"/>
        <b/>
        <color theme="1"/>
        <sz val="10.0"/>
      </rPr>
      <t>Dining &amp; Grocery Cashback (3%)</t>
    </r>
  </si>
  <si>
    <r>
      <rPr>
        <rFont val="Arial"/>
        <color theme="1"/>
        <sz val="10.0"/>
      </rPr>
      <t>Reward Type:  </t>
    </r>
    <r>
      <rPr>
        <rFont val="Arial"/>
        <b/>
        <color theme="1"/>
        <sz val="10.0"/>
      </rPr>
      <t>Travel &amp; Transportation Cashback (2%)</t>
    </r>
  </si>
  <si>
    <r>
      <rPr>
        <rFont val="Arial"/>
        <color theme="1"/>
        <sz val="10.0"/>
      </rPr>
      <t>Reward Type:  </t>
    </r>
    <r>
      <rPr>
        <rFont val="Arial"/>
        <b/>
        <color theme="1"/>
        <sz val="10.0"/>
      </rPr>
      <t>Dining &amp; Grocery Cashback (3%)</t>
    </r>
  </si>
  <si>
    <r>
      <rPr>
        <rFont val="Arial"/>
        <color theme="1"/>
        <sz val="10.0"/>
      </rPr>
      <t>Reward Type:  </t>
    </r>
    <r>
      <rPr>
        <rFont val="Arial"/>
        <b/>
        <color theme="1"/>
        <sz val="10.0"/>
      </rPr>
      <t>Rent Cashback (1%)</t>
    </r>
  </si>
  <si>
    <r>
      <rPr>
        <rFont val="Arial"/>
        <color theme="1"/>
        <sz val="10.0"/>
      </rPr>
      <t>Reward Type:  </t>
    </r>
    <r>
      <rPr>
        <rFont val="Arial"/>
        <b/>
        <color theme="1"/>
        <sz val="10.0"/>
      </rPr>
      <t>Dining &amp; Grocery Cashback (3%)</t>
    </r>
  </si>
  <si>
    <r>
      <rPr>
        <rFont val="Arial"/>
        <color theme="1"/>
        <sz val="10.0"/>
      </rPr>
      <t>Reward Type:  </t>
    </r>
    <r>
      <rPr>
        <rFont val="Arial"/>
        <b/>
        <color theme="1"/>
        <sz val="10.0"/>
      </rPr>
      <t>Rent Cashback (1%)</t>
    </r>
  </si>
  <si>
    <r>
      <rPr>
        <rFont val="Arial"/>
        <color theme="1"/>
        <sz val="10.0"/>
      </rPr>
      <t>Reward Type:  </t>
    </r>
    <r>
      <rPr>
        <rFont val="Arial"/>
        <b/>
        <color theme="1"/>
        <sz val="10.0"/>
      </rPr>
      <t>Travel &amp; Transportation Cashback (2%)</t>
    </r>
  </si>
  <si>
    <r>
      <rPr>
        <rFont val="Arial"/>
        <color theme="1"/>
        <sz val="10.0"/>
      </rPr>
      <t>Reward Type:  </t>
    </r>
    <r>
      <rPr>
        <rFont val="Arial"/>
        <b/>
        <color theme="1"/>
        <sz val="10.0"/>
      </rPr>
      <t>Dining &amp; Grocery Cashback (3%)</t>
    </r>
  </si>
  <si>
    <r>
      <rPr>
        <rFont val="Arial"/>
        <color theme="1"/>
        <sz val="10.0"/>
      </rPr>
      <t>Reward Type:  </t>
    </r>
    <r>
      <rPr>
        <rFont val="Arial"/>
        <b/>
        <color theme="1"/>
        <sz val="10.0"/>
      </rPr>
      <t>Rent Cashback (1%)</t>
    </r>
  </si>
  <si>
    <r>
      <rPr>
        <rFont val="Arial"/>
        <color theme="1"/>
        <sz val="10.0"/>
      </rPr>
      <t>Reward Type:  </t>
    </r>
    <r>
      <rPr>
        <rFont val="Arial"/>
        <b/>
        <color theme="1"/>
        <sz val="10.0"/>
      </rPr>
      <t>Rent Cashback (1%)</t>
    </r>
  </si>
  <si>
    <r>
      <rPr>
        <rFont val="Arial"/>
        <color theme="1"/>
        <sz val="10.0"/>
      </rPr>
      <t>Reward Type:  </t>
    </r>
    <r>
      <rPr>
        <rFont val="Arial"/>
        <b/>
        <color theme="1"/>
        <sz val="10.0"/>
      </rPr>
      <t>Rent Cashback (1%)</t>
    </r>
  </si>
  <si>
    <r>
      <rPr>
        <rFont val="Arial"/>
        <color theme="1"/>
        <sz val="10.0"/>
      </rPr>
      <t>Reward Type:  </t>
    </r>
    <r>
      <rPr>
        <rFont val="Arial"/>
        <b/>
        <color theme="1"/>
        <sz val="10.0"/>
      </rPr>
      <t>Travel &amp; Transportation Cashback (2%)</t>
    </r>
  </si>
  <si>
    <r>
      <rPr>
        <rFont val="Arial"/>
        <color theme="1"/>
        <sz val="10.0"/>
      </rPr>
      <t>Reward Type:  </t>
    </r>
    <r>
      <rPr>
        <rFont val="Arial"/>
        <b/>
        <color theme="1"/>
        <sz val="10.0"/>
      </rPr>
      <t>Rent Cashback (1%)</t>
    </r>
  </si>
  <si>
    <r>
      <rPr>
        <rFont val="Arial"/>
        <color theme="1"/>
        <sz val="10.0"/>
      </rPr>
      <t>Sign-Up Bonus: </t>
    </r>
    <r>
      <rPr>
        <rFont val="Arial"/>
        <b/>
        <color theme="1"/>
        <sz val="10.0"/>
      </rPr>
      <t>No</t>
    </r>
  </si>
  <si>
    <r>
      <rPr>
        <rFont val="Arial"/>
        <color theme="1"/>
        <sz val="10.0"/>
      </rPr>
      <t>Sign-Up Bonus: </t>
    </r>
    <r>
      <rPr>
        <rFont val="Arial"/>
        <b/>
        <color theme="1"/>
        <sz val="10.0"/>
      </rPr>
      <t>Yes</t>
    </r>
  </si>
  <si>
    <r>
      <rPr>
        <rFont val="Arial"/>
        <color theme="1"/>
        <sz val="10.0"/>
      </rPr>
      <t>Sign-Up Bonus: </t>
    </r>
    <r>
      <rPr>
        <rFont val="Arial"/>
        <b/>
        <color theme="1"/>
        <sz val="10.0"/>
      </rPr>
      <t>Yes</t>
    </r>
  </si>
  <si>
    <r>
      <rPr>
        <rFont val="Arial"/>
        <color theme="1"/>
        <sz val="10.0"/>
      </rPr>
      <t>Sign-Up Bonus: </t>
    </r>
    <r>
      <rPr>
        <rFont val="Arial"/>
        <b/>
        <color theme="1"/>
        <sz val="10.0"/>
      </rPr>
      <t>No</t>
    </r>
  </si>
  <si>
    <r>
      <rPr>
        <rFont val="Arial"/>
        <color theme="1"/>
        <sz val="10.0"/>
      </rPr>
      <t>Sign-Up Bonus: </t>
    </r>
    <r>
      <rPr>
        <rFont val="Arial"/>
        <b/>
        <color theme="1"/>
        <sz val="10.0"/>
      </rPr>
      <t>No</t>
    </r>
  </si>
  <si>
    <r>
      <rPr>
        <rFont val="Arial"/>
        <color theme="1"/>
        <sz val="10.0"/>
      </rPr>
      <t>Sign-Up Bonus: </t>
    </r>
    <r>
      <rPr>
        <rFont val="Arial"/>
        <b/>
        <color theme="1"/>
        <sz val="10.0"/>
      </rPr>
      <t>No</t>
    </r>
  </si>
  <si>
    <r>
      <rPr>
        <rFont val="Arial"/>
        <color theme="1"/>
        <sz val="10.0"/>
      </rPr>
      <t>Sign-Up Bonus: </t>
    </r>
    <r>
      <rPr>
        <rFont val="Arial"/>
        <b/>
        <color theme="1"/>
        <sz val="10.0"/>
      </rPr>
      <t>Yes</t>
    </r>
  </si>
  <si>
    <r>
      <rPr>
        <rFont val="Arial"/>
        <color theme="1"/>
        <sz val="10.0"/>
      </rPr>
      <t>Sign-Up Bonus: </t>
    </r>
    <r>
      <rPr>
        <rFont val="Arial"/>
        <b/>
        <color theme="1"/>
        <sz val="10.0"/>
      </rPr>
      <t>No</t>
    </r>
  </si>
  <si>
    <r>
      <rPr>
        <rFont val="Arial"/>
        <color theme="1"/>
        <sz val="10.0"/>
      </rPr>
      <t>Sign-Up Bonus: </t>
    </r>
    <r>
      <rPr>
        <rFont val="Arial"/>
        <b/>
        <color theme="1"/>
        <sz val="10.0"/>
      </rPr>
      <t>Yes</t>
    </r>
  </si>
  <si>
    <r>
      <rPr>
        <rFont val="Arial"/>
        <color theme="1"/>
        <sz val="10.0"/>
      </rPr>
      <t>Sign-Up Bonus: </t>
    </r>
    <r>
      <rPr>
        <rFont val="Arial"/>
        <b/>
        <color theme="1"/>
        <sz val="10.0"/>
      </rPr>
      <t>No</t>
    </r>
  </si>
  <si>
    <r>
      <rPr>
        <rFont val="Arial"/>
        <color theme="1"/>
        <sz val="10.0"/>
      </rPr>
      <t>Sign-Up Bonus: </t>
    </r>
    <r>
      <rPr>
        <rFont val="Arial"/>
        <b/>
        <color theme="1"/>
        <sz val="10.0"/>
      </rPr>
      <t>Yes</t>
    </r>
  </si>
  <si>
    <r>
      <rPr>
        <rFont val="Arial"/>
        <color theme="1"/>
        <sz val="10.0"/>
      </rPr>
      <t>Sign-Up Bonus: </t>
    </r>
    <r>
      <rPr>
        <rFont val="Arial"/>
        <b/>
        <color theme="1"/>
        <sz val="10.0"/>
      </rPr>
      <t>Yes</t>
    </r>
  </si>
  <si>
    <r>
      <rPr>
        <rFont val="Arial"/>
        <color theme="1"/>
        <sz val="10.0"/>
      </rPr>
      <t>Sign-Up Bonus: </t>
    </r>
    <r>
      <rPr>
        <rFont val="Arial"/>
        <b/>
        <color theme="1"/>
        <sz val="10.0"/>
      </rPr>
      <t>Yes</t>
    </r>
  </si>
  <si>
    <r>
      <rPr>
        <rFont val="Arial"/>
        <color theme="1"/>
        <sz val="10.0"/>
      </rPr>
      <t>Sign-Up Bonus: </t>
    </r>
    <r>
      <rPr>
        <rFont val="Arial"/>
        <b/>
        <color theme="1"/>
        <sz val="10.0"/>
      </rPr>
      <t>No</t>
    </r>
  </si>
  <si>
    <r>
      <rPr>
        <rFont val="Arial"/>
        <color theme="1"/>
        <sz val="10.0"/>
      </rPr>
      <t>Sign-Up Bonus: </t>
    </r>
    <r>
      <rPr>
        <rFont val="Arial"/>
        <b/>
        <color theme="1"/>
        <sz val="10.0"/>
      </rPr>
      <t>No</t>
    </r>
  </si>
  <si>
    <r>
      <rPr>
        <rFont val="Arial"/>
        <color theme="1"/>
        <sz val="10.0"/>
      </rPr>
      <t>Card Network: </t>
    </r>
    <r>
      <rPr>
        <rFont val="Arial"/>
        <b/>
        <color theme="1"/>
        <sz val="10.0"/>
      </rPr>
      <t>Mastercard</t>
    </r>
  </si>
  <si>
    <r>
      <rPr>
        <rFont val="Arial"/>
        <color theme="1"/>
        <sz val="10.0"/>
      </rPr>
      <t>Card Network: </t>
    </r>
    <r>
      <rPr>
        <rFont val="Arial"/>
        <b/>
        <color theme="1"/>
        <sz val="10.0"/>
      </rPr>
      <t>Visa</t>
    </r>
  </si>
  <si>
    <r>
      <rPr>
        <rFont val="Arial"/>
        <color theme="1"/>
        <sz val="10.0"/>
      </rPr>
      <t>Card Network: </t>
    </r>
    <r>
      <rPr>
        <rFont val="Arial"/>
        <b/>
        <color theme="1"/>
        <sz val="10.0"/>
      </rPr>
      <t>Amex</t>
    </r>
  </si>
  <si>
    <r>
      <rPr>
        <rFont val="Arial"/>
        <color theme="1"/>
        <sz val="10.0"/>
      </rPr>
      <t>Card Network: </t>
    </r>
    <r>
      <rPr>
        <rFont val="Arial"/>
        <b/>
        <color theme="1"/>
        <sz val="10.0"/>
      </rPr>
      <t>Amex</t>
    </r>
  </si>
  <si>
    <r>
      <rPr>
        <rFont val="Arial"/>
        <color theme="1"/>
        <sz val="10.0"/>
      </rPr>
      <t>Card Network: </t>
    </r>
    <r>
      <rPr>
        <rFont val="Arial"/>
        <b/>
        <color theme="1"/>
        <sz val="10.0"/>
      </rPr>
      <t>Visa</t>
    </r>
  </si>
  <si>
    <r>
      <rPr>
        <rFont val="Arial"/>
        <color theme="1"/>
        <sz val="10.0"/>
      </rPr>
      <t>Card Network: </t>
    </r>
    <r>
      <rPr>
        <rFont val="Arial"/>
        <b/>
        <color theme="1"/>
        <sz val="10.0"/>
      </rPr>
      <t>Amex</t>
    </r>
  </si>
  <si>
    <r>
      <rPr>
        <rFont val="Arial"/>
        <color theme="1"/>
        <sz val="10.0"/>
      </rPr>
      <t>Card Network: </t>
    </r>
    <r>
      <rPr>
        <rFont val="Arial"/>
        <b/>
        <color theme="1"/>
        <sz val="10.0"/>
      </rPr>
      <t>Mastercard</t>
    </r>
  </si>
  <si>
    <r>
      <rPr>
        <rFont val="Arial"/>
        <color theme="1"/>
        <sz val="10.0"/>
      </rPr>
      <t>Card Network: </t>
    </r>
    <r>
      <rPr>
        <rFont val="Arial"/>
        <b/>
        <color theme="1"/>
        <sz val="10.0"/>
      </rPr>
      <t>Visa</t>
    </r>
  </si>
  <si>
    <r>
      <rPr>
        <rFont val="Arial"/>
        <color theme="1"/>
        <sz val="10.0"/>
      </rPr>
      <t>Card Network: </t>
    </r>
    <r>
      <rPr>
        <rFont val="Arial"/>
        <b/>
        <color theme="1"/>
        <sz val="10.0"/>
      </rPr>
      <t>Visa</t>
    </r>
  </si>
  <si>
    <r>
      <rPr>
        <rFont val="Arial"/>
        <color theme="1"/>
        <sz val="10.0"/>
      </rPr>
      <t>Card Network: </t>
    </r>
    <r>
      <rPr>
        <rFont val="Arial"/>
        <b/>
        <color theme="1"/>
        <sz val="10.0"/>
      </rPr>
      <t>Visa</t>
    </r>
  </si>
  <si>
    <r>
      <rPr>
        <rFont val="Arial"/>
        <color theme="1"/>
        <sz val="10.0"/>
      </rPr>
      <t>Card Network: </t>
    </r>
    <r>
      <rPr>
        <rFont val="Arial"/>
        <b/>
        <color theme="1"/>
        <sz val="10.0"/>
      </rPr>
      <t>Amex</t>
    </r>
  </si>
  <si>
    <r>
      <rPr>
        <rFont val="Arial"/>
        <color theme="1"/>
        <sz val="10.0"/>
      </rPr>
      <t>Card Network: </t>
    </r>
    <r>
      <rPr>
        <rFont val="Arial"/>
        <b/>
        <color theme="1"/>
        <sz val="10.0"/>
      </rPr>
      <t>Mastercard</t>
    </r>
  </si>
  <si>
    <r>
      <rPr>
        <rFont val="Arial"/>
        <color theme="1"/>
        <sz val="10.0"/>
      </rPr>
      <t>Card Network: </t>
    </r>
    <r>
      <rPr>
        <rFont val="Arial"/>
        <b/>
        <color theme="1"/>
        <sz val="10.0"/>
      </rPr>
      <t>Visa</t>
    </r>
  </si>
  <si>
    <r>
      <rPr>
        <rFont val="Arial"/>
        <color theme="1"/>
        <sz val="10.0"/>
      </rPr>
      <t>Card Network: </t>
    </r>
    <r>
      <rPr>
        <rFont val="Arial"/>
        <b/>
        <color theme="1"/>
        <sz val="10.0"/>
      </rPr>
      <t>Mastercard</t>
    </r>
  </si>
  <si>
    <r>
      <rPr>
        <rFont val="Arial"/>
        <color theme="1"/>
        <sz val="10.0"/>
      </rPr>
      <t>Card Network: </t>
    </r>
    <r>
      <rPr>
        <rFont val="Arial"/>
        <b/>
        <color theme="1"/>
        <sz val="10.0"/>
      </rPr>
      <t>Mastercard</t>
    </r>
  </si>
  <si>
    <r>
      <rPr>
        <rFont val="Arial"/>
        <color theme="1"/>
        <sz val="10.0"/>
      </rPr>
      <t>Interest Rate (APR): </t>
    </r>
    <r>
      <rPr>
        <rFont val="Arial"/>
        <b/>
        <color theme="1"/>
        <sz val="10.0"/>
      </rPr>
      <t>25%</t>
    </r>
  </si>
  <si>
    <r>
      <rPr>
        <rFont val="Arial"/>
        <color theme="1"/>
        <sz val="10.0"/>
      </rPr>
      <t>Interest Rate (APR): </t>
    </r>
    <r>
      <rPr>
        <rFont val="Arial"/>
        <b/>
        <color theme="1"/>
        <sz val="10.0"/>
      </rPr>
      <t>20%</t>
    </r>
  </si>
  <si>
    <r>
      <rPr>
        <rFont val="Arial"/>
        <color theme="1"/>
        <sz val="10.0"/>
      </rPr>
      <t>Interest Rate (APR): </t>
    </r>
    <r>
      <rPr>
        <rFont val="Arial"/>
        <b/>
        <color theme="1"/>
        <sz val="10.0"/>
      </rPr>
      <t>25%</t>
    </r>
  </si>
  <si>
    <r>
      <rPr>
        <rFont val="Arial"/>
        <color theme="1"/>
        <sz val="10.0"/>
      </rPr>
      <t>Interest Rate (APR): </t>
    </r>
    <r>
      <rPr>
        <rFont val="Arial"/>
        <b/>
        <color theme="1"/>
        <sz val="10.0"/>
      </rPr>
      <t>25%</t>
    </r>
  </si>
  <si>
    <r>
      <rPr>
        <rFont val="Arial"/>
        <color theme="1"/>
        <sz val="10.0"/>
      </rPr>
      <t>Interest Rate (APR): </t>
    </r>
    <r>
      <rPr>
        <rFont val="Arial"/>
        <b/>
        <color theme="1"/>
        <sz val="10.0"/>
      </rPr>
      <t>20%</t>
    </r>
  </si>
  <si>
    <r>
      <rPr>
        <rFont val="Arial"/>
        <color theme="1"/>
        <sz val="10.0"/>
      </rPr>
      <t>Interest Rate (APR): </t>
    </r>
    <r>
      <rPr>
        <rFont val="Arial"/>
        <b/>
        <color theme="1"/>
        <sz val="10.0"/>
      </rPr>
      <t>20%</t>
    </r>
  </si>
  <si>
    <r>
      <rPr>
        <rFont val="Arial"/>
        <color theme="1"/>
        <sz val="10.0"/>
      </rPr>
      <t>Interest Rate (APR): </t>
    </r>
    <r>
      <rPr>
        <rFont val="Arial"/>
        <b/>
        <color theme="1"/>
        <sz val="10.0"/>
      </rPr>
      <t>15%</t>
    </r>
  </si>
  <si>
    <r>
      <rPr>
        <rFont val="Arial"/>
        <color theme="1"/>
        <sz val="10.0"/>
      </rPr>
      <t>Interest Rate (APR): </t>
    </r>
    <r>
      <rPr>
        <rFont val="Arial"/>
        <b/>
        <color theme="1"/>
        <sz val="10.0"/>
      </rPr>
      <t>15%</t>
    </r>
  </si>
  <si>
    <r>
      <rPr>
        <rFont val="Arial"/>
        <color theme="1"/>
        <sz val="10.0"/>
      </rPr>
      <t>Interest Rate (APR): </t>
    </r>
    <r>
      <rPr>
        <rFont val="Arial"/>
        <b/>
        <color theme="1"/>
        <sz val="10.0"/>
      </rPr>
      <t>25%</t>
    </r>
  </si>
  <si>
    <r>
      <rPr>
        <rFont val="Arial"/>
        <color theme="1"/>
        <sz val="10.0"/>
      </rPr>
      <t>Interest Rate (APR): </t>
    </r>
    <r>
      <rPr>
        <rFont val="Arial"/>
        <b/>
        <color theme="1"/>
        <sz val="10.0"/>
      </rPr>
      <t>15%</t>
    </r>
  </si>
  <si>
    <r>
      <rPr>
        <rFont val="Arial"/>
        <color theme="1"/>
        <sz val="10.0"/>
      </rPr>
      <t>Interest Rate (APR): </t>
    </r>
    <r>
      <rPr>
        <rFont val="Arial"/>
        <b/>
        <color theme="1"/>
        <sz val="10.0"/>
      </rPr>
      <t>15%</t>
    </r>
  </si>
  <si>
    <r>
      <rPr>
        <rFont val="Arial"/>
        <color theme="1"/>
        <sz val="10.0"/>
      </rPr>
      <t>Interest Rate (APR): </t>
    </r>
    <r>
      <rPr>
        <rFont val="Arial"/>
        <b/>
        <color theme="1"/>
        <sz val="10.0"/>
      </rPr>
      <t>20%</t>
    </r>
  </si>
  <si>
    <r>
      <rPr>
        <rFont val="Arial"/>
        <color theme="1"/>
        <sz val="10.0"/>
      </rPr>
      <t>Interest Rate (APR): </t>
    </r>
    <r>
      <rPr>
        <rFont val="Arial"/>
        <b/>
        <color theme="1"/>
        <sz val="10.0"/>
      </rPr>
      <t>25%</t>
    </r>
  </si>
  <si>
    <r>
      <rPr>
        <rFont val="Arial"/>
        <color theme="1"/>
        <sz val="10.0"/>
      </rPr>
      <t>Interest Rate (APR): </t>
    </r>
    <r>
      <rPr>
        <rFont val="Arial"/>
        <b/>
        <color theme="1"/>
        <sz val="10.0"/>
      </rPr>
      <t>15%</t>
    </r>
  </si>
  <si>
    <r>
      <rPr>
        <rFont val="Arial"/>
        <color theme="1"/>
        <sz val="10.0"/>
      </rPr>
      <t>Interest Rate (APR): </t>
    </r>
    <r>
      <rPr>
        <rFont val="Arial"/>
        <b/>
        <color theme="1"/>
        <sz val="10.0"/>
      </rPr>
      <t>25%</t>
    </r>
  </si>
  <si>
    <t>yw4408@columbia.edu</t>
  </si>
  <si>
    <t>annzhoufan@gmail.com</t>
  </si>
  <si>
    <t>nk3211@columbia.edu</t>
  </si>
  <si>
    <t>martin.zhang011024@gmail.com</t>
  </si>
  <si>
    <t>ok97@cornell.edu</t>
  </si>
  <si>
    <t>zn2215@columbia.edu</t>
  </si>
  <si>
    <t>ym3119@columbia.edu</t>
  </si>
  <si>
    <t>riyahpanicker@gmail.com</t>
  </si>
  <si>
    <t>xxjulia.yan@gmail.com</t>
  </si>
  <si>
    <t>jz3995@columbia.edu</t>
  </si>
  <si>
    <t>app2170@columbia.edu</t>
  </si>
  <si>
    <t>aditi.kaks4@gmail.com</t>
  </si>
  <si>
    <t>tk3143@columbia.edu</t>
  </si>
  <si>
    <t>jz5731@nyu.edu</t>
  </si>
  <si>
    <t xml:space="preserve">*Stated Preference </t>
  </si>
  <si>
    <t>*Conjoint analysis Data</t>
  </si>
  <si>
    <t xml:space="preserve">Transposed Conjoint analysis Data </t>
  </si>
  <si>
    <t>Response 1</t>
  </si>
  <si>
    <t>Response 2</t>
  </si>
  <si>
    <t>Response 3</t>
  </si>
  <si>
    <t>Response 4</t>
  </si>
  <si>
    <t>Response 5</t>
  </si>
  <si>
    <t>Response 6</t>
  </si>
  <si>
    <t>Response 7</t>
  </si>
  <si>
    <t>Response 8</t>
  </si>
  <si>
    <t>Response 9</t>
  </si>
  <si>
    <t>Response 10</t>
  </si>
  <si>
    <t>Response 11</t>
  </si>
  <si>
    <t>Response 12</t>
  </si>
  <si>
    <t>Response 13</t>
  </si>
  <si>
    <t>Response 14</t>
  </si>
  <si>
    <t>Since Response 7 has a missing, we drop that</t>
  </si>
  <si>
    <t xml:space="preserve">*For this project we only need 10 response, so we reduce the sample to improve effciency </t>
  </si>
  <si>
    <t>Final Data Set with corrected indexing</t>
  </si>
  <si>
    <t>Profile</t>
  </si>
  <si>
    <t>annual fee</t>
  </si>
  <si>
    <t>reward type</t>
  </si>
  <si>
    <t>sign-up bonus</t>
  </si>
  <si>
    <t>card network</t>
  </si>
  <si>
    <t>interest rate (APR)</t>
  </si>
  <si>
    <t>Travel &amp; Transportation Cashback</t>
  </si>
  <si>
    <t>Rent Cashback</t>
  </si>
  <si>
    <t>No</t>
  </si>
  <si>
    <t>Mastercard</t>
  </si>
  <si>
    <t>Amex</t>
  </si>
  <si>
    <t>Response</t>
  </si>
  <si>
    <t>Baseline Model</t>
  </si>
  <si>
    <t>Annual Fee</t>
  </si>
  <si>
    <t>Reward Type</t>
  </si>
  <si>
    <t>Dining &amp; Grocery Cashback (3%)</t>
  </si>
  <si>
    <t>Sign-up Bonus</t>
  </si>
  <si>
    <t>Yes</t>
  </si>
  <si>
    <t>Card Network</t>
  </si>
  <si>
    <t>Visa</t>
  </si>
  <si>
    <t>Interest Rate</t>
  </si>
  <si>
    <t xml:space="preserve">Using regression in Excel, estimate the part-worths for each of your ten respondents. </t>
  </si>
  <si>
    <t>part-worths for each of ten respondents is the followings:</t>
  </si>
  <si>
    <t>SUMMARY OUTPUT</t>
  </si>
  <si>
    <t>PARTWORTHS</t>
  </si>
  <si>
    <t>Intercept</t>
  </si>
  <si>
    <t>Ideal profile</t>
  </si>
  <si>
    <t>Regression Statistics</t>
  </si>
  <si>
    <t>Multiple R</t>
  </si>
  <si>
    <t>R Square</t>
  </si>
  <si>
    <t>Adjusted R Square</t>
  </si>
  <si>
    <t>Standard Error</t>
  </si>
  <si>
    <t>Travel &amp; Transportation Cashback (2%)</t>
  </si>
  <si>
    <t>Observations</t>
  </si>
  <si>
    <t>Rent Cashback (1%)</t>
  </si>
  <si>
    <t>ANOVA</t>
  </si>
  <si>
    <t>df</t>
  </si>
  <si>
    <t>SS</t>
  </si>
  <si>
    <t>MS</t>
  </si>
  <si>
    <t>F</t>
  </si>
  <si>
    <t>Significance F</t>
  </si>
  <si>
    <t>Card Network/Type</t>
  </si>
  <si>
    <t>Regression</t>
  </si>
  <si>
    <t>Residual</t>
  </si>
  <si>
    <t>Total</t>
  </si>
  <si>
    <t>Interest Rate (APR)</t>
  </si>
  <si>
    <t>Coefficients</t>
  </si>
  <si>
    <t>t Stat</t>
  </si>
  <si>
    <t>P-value</t>
  </si>
  <si>
    <t>Lower 95%</t>
  </si>
  <si>
    <t>Upper 95%</t>
  </si>
  <si>
    <t>Lower 95.0%</t>
  </si>
  <si>
    <t>Upper 95.0%</t>
  </si>
  <si>
    <r>
      <rPr>
        <rFont val="Helvetica Neue"/>
        <color rgb="FF273540"/>
        <sz val="16.0"/>
      </rPr>
      <t>Choose </t>
    </r>
    <r>
      <rPr>
        <rFont val="Helvetica Neue"/>
        <b/>
        <color rgb="FF273540"/>
        <sz val="16.0"/>
      </rPr>
      <t>one </t>
    </r>
    <r>
      <rPr>
        <rFont val="Helvetica Neue"/>
        <color rgb="FF273540"/>
        <sz val="16.0"/>
      </rPr>
      <t>respondent, report the part-worths for that respondent and analyze what are the best and worst possible products for that respondent.</t>
    </r>
  </si>
  <si>
    <t>We pick response 7:</t>
  </si>
  <si>
    <t>Answer</t>
  </si>
  <si>
    <t>Attribute</t>
  </si>
  <si>
    <t>Best Level</t>
  </si>
  <si>
    <t>Worst Level</t>
  </si>
  <si>
    <t>$50 (+0.3746)</t>
  </si>
  <si>
    <t>$0 (0)</t>
  </si>
  <si>
    <t>Dining &amp; Grocery 3% (0)</t>
  </si>
  <si>
    <t>Rent Cashback 1% (–1.1656)</t>
  </si>
  <si>
    <t>Yes (0)</t>
  </si>
  <si>
    <t>No (–0.9052)</t>
  </si>
  <si>
    <t>Amex (+1.2496)</t>
  </si>
  <si>
    <t>Mastercard (–0.0844)</t>
  </si>
  <si>
    <t>15% (0)</t>
  </si>
  <si>
    <t>25% (–0.9156)</t>
  </si>
  <si>
    <t>Utility</t>
  </si>
  <si>
    <t>For the chosen respondent, determine the relative importance of each attribute.</t>
  </si>
  <si>
    <t>Table 2. Attribute Importances for Credit Card Attributes (Respondent #7)</t>
  </si>
  <si>
    <t>ATTRIBUTE IMPORTANCES</t>
  </si>
  <si>
    <t xml:space="preserve">Range </t>
  </si>
  <si>
    <t>Importance</t>
  </si>
  <si>
    <t>Sum of Importance</t>
  </si>
  <si>
    <t>Grand Total</t>
  </si>
  <si>
    <r>
      <rPr>
        <rFont val="Helvetica Neue"/>
        <color rgb="FF273540"/>
        <sz val="16.0"/>
      </rPr>
      <t>Plot the part-worths for the price variable for </t>
    </r>
    <r>
      <rPr>
        <rFont val="Helvetica Neue"/>
        <b/>
        <color rgb="FF273540"/>
        <sz val="16.0"/>
      </rPr>
      <t>five respondents. </t>
    </r>
    <r>
      <rPr>
        <rFont val="Helvetica Neue"/>
        <color rgb="FF273540"/>
        <sz val="16.0"/>
      </rPr>
      <t> Are these plots consistent with your expectation about the impact of the price in this product category?</t>
    </r>
  </si>
  <si>
    <t>In this question, we pick respondents five to nine</t>
  </si>
  <si>
    <t>Organized  data</t>
  </si>
  <si>
    <t>Price</t>
  </si>
  <si>
    <t>Respondent 5</t>
  </si>
  <si>
    <t>Respondent 6</t>
  </si>
  <si>
    <t>Respondent 7</t>
  </si>
  <si>
    <t>Respondent 8</t>
  </si>
  <si>
    <t>Respondent 9</t>
  </si>
  <si>
    <t>Respondent_5</t>
  </si>
  <si>
    <t>Respondent_6</t>
  </si>
  <si>
    <t>Respondent_7</t>
  </si>
  <si>
    <t>Respondent_8</t>
  </si>
  <si>
    <t>Respondent_9</t>
  </si>
  <si>
    <t>The general downward slope across respondents reflects a negative price effect, which aligns perfectly with standard consumer behavior.</t>
  </si>
  <si>
    <r>
      <rPr>
        <rFont val="Arial"/>
        <color rgb="FF000000"/>
        <sz val="10.0"/>
      </rPr>
      <t>Respondent 7 shows a mild </t>
    </r>
    <r>
      <rPr>
        <rFont val="Arial"/>
        <i/>
        <color rgb="FF000000"/>
        <sz val="10.0"/>
      </rPr>
      <t>positive</t>
    </r>
    <r>
      <rPr>
        <rFont val="Arial"/>
        <color rgb="FF000000"/>
        <sz val="10.0"/>
      </rPr>
      <t> valuation for a $50 annual fee — not common, but plausible if:</t>
    </r>
  </si>
  <si>
    <t>They associate fees with better perks or reliability.</t>
  </si>
  <si>
    <t>They have higher income.</t>
  </si>
  <si>
    <t>Generate two new product profiles that did not appear on your questionnaire. Assume that these are the only products in the market place currently offered by competitors X and Y. Based on your ten respondents, what would you estimate the market share to be for each of these products? For this task, you may compute market shares using either the maximum utility rule or using logistic probabilities.</t>
  </si>
  <si>
    <t>New Prof</t>
  </si>
  <si>
    <t>Respondent</t>
  </si>
  <si>
    <t>X_Utility</t>
  </si>
  <si>
    <t>Y_Utility</t>
  </si>
  <si>
    <t>Choice</t>
  </si>
  <si>
    <t>Share</t>
  </si>
  <si>
    <t>Z1-Utility</t>
  </si>
  <si>
    <t>Z2-Utility</t>
  </si>
  <si>
    <t>Z3-Utility</t>
  </si>
  <si>
    <t>Number of Options</t>
  </si>
  <si>
    <t>X</t>
  </si>
  <si>
    <t>Y</t>
  </si>
  <si>
    <t>Market Shares</t>
  </si>
  <si>
    <t>Unit Sales</t>
  </si>
  <si>
    <t>Alternatives</t>
  </si>
  <si>
    <t>Attributes</t>
  </si>
  <si>
    <t>Levels</t>
  </si>
  <si>
    <t>Z1</t>
  </si>
  <si>
    <t>Z2</t>
  </si>
  <si>
    <t>Z3</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</si>
</sst>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
    <numFmt numFmtId="165" formatCode="&quot;$&quot;#,##0_);[Red]\(&quot;$&quot;#,##0\)"/>
    <numFmt numFmtId="166" formatCode="&quot;$&quot;#,##0"/>
  </numFmts>
  <fonts count="30">
    <font>
      <sz val="10.0"/>
      <color rgb="FF000000"/>
      <name val="Arial"/>
      <scheme val="minor"/>
    </font>
    <font>
      <sz val="10.0"/>
      <color theme="1"/>
      <name val="Roboto"/>
    </font>
    <font>
      <sz val="10.0"/>
      <color theme="1"/>
      <name val="Arial"/>
    </font>
    <font>
      <b/>
      <sz val="10.0"/>
      <color theme="1"/>
      <name val="Arial"/>
    </font>
    <font>
      <sz val="10.0"/>
      <color rgb="FF434343"/>
      <name val="Roboto"/>
    </font>
    <font>
      <sz val="30.0"/>
      <color theme="1"/>
      <name val="Arial"/>
    </font>
    <font>
      <sz val="36.0"/>
      <color theme="1"/>
      <name val="Arial"/>
    </font>
    <font>
      <sz val="20.0"/>
      <color theme="1"/>
      <name val="Arial"/>
    </font>
    <font>
      <b/>
      <i/>
      <sz val="18.0"/>
      <color rgb="FF434343"/>
      <name val="Roboto"/>
    </font>
    <font>
      <b/>
      <i/>
      <sz val="18.0"/>
      <color theme="1"/>
      <name val="Arial"/>
    </font>
    <font>
      <b/>
      <sz val="20.0"/>
      <color theme="1"/>
      <name val="Arial"/>
    </font>
    <font>
      <b/>
      <sz val="11.0"/>
      <color theme="1"/>
      <name val="Calibri"/>
    </font>
    <font>
      <b/>
      <sz val="11.0"/>
      <color theme="0"/>
      <name val="Calibri"/>
    </font>
    <font>
      <color theme="1"/>
      <name val="Arial"/>
      <scheme val="minor"/>
    </font>
    <font>
      <b/>
      <sz val="12.0"/>
      <color rgb="FF273540"/>
      <name val="Arial"/>
    </font>
    <font>
      <color theme="1"/>
      <name val="Arial"/>
    </font>
    <font>
      <sz val="16.0"/>
      <color rgb="FF273540"/>
      <name val="Helvetica Neue"/>
    </font>
    <font>
      <sz val="22.0"/>
      <color theme="1"/>
      <name val="Arial"/>
    </font>
    <font>
      <i/>
      <sz val="10.0"/>
      <color theme="1"/>
      <name val="Arial"/>
    </font>
    <font/>
    <font>
      <b/>
      <sz val="18.0"/>
      <color rgb="FF434343"/>
      <name val="Roboto"/>
    </font>
    <font>
      <b/>
      <sz val="10.0"/>
      <color rgb="FF000000"/>
      <name val="Arial"/>
    </font>
    <font>
      <sz val="10.0"/>
      <color rgb="FF000000"/>
      <name val="Arial"/>
    </font>
    <font>
      <i/>
      <sz val="10.0"/>
      <color rgb="FF000000"/>
      <name val="-webkit-standard"/>
    </font>
    <font>
      <sz val="10.0"/>
      <color theme="1"/>
      <name val="Arial"/>
      <scheme val="minor"/>
    </font>
    <font>
      <sz val="14.0"/>
      <color rgb="FF000000"/>
      <name val="-webkit-standard"/>
    </font>
    <font>
      <sz val="14.0"/>
      <color theme="1"/>
      <name val="Arial"/>
    </font>
    <font>
      <b/>
      <sz val="12.0"/>
      <color theme="1"/>
      <name val="Arial"/>
    </font>
    <font>
      <b/>
      <sz val="14.0"/>
      <color theme="1"/>
      <name val="Arial"/>
    </font>
    <font>
      <sz val="16.0"/>
      <color theme="1"/>
      <name val="Arial"/>
    </font>
  </fonts>
  <fills count="10">
    <fill>
      <patternFill patternType="none"/>
    </fill>
    <fill>
      <patternFill patternType="lightGray"/>
    </fill>
    <fill>
      <patternFill patternType="solid">
        <fgColor rgb="FF00B050"/>
        <bgColor rgb="FF00B050"/>
      </patternFill>
    </fill>
    <fill>
      <patternFill patternType="solid">
        <fgColor rgb="FFFFFF00"/>
        <bgColor rgb="FFFFFF00"/>
      </patternFill>
    </fill>
    <fill>
      <patternFill patternType="solid">
        <fgColor rgb="FFFF0000"/>
        <bgColor rgb="FFFF0000"/>
      </patternFill>
    </fill>
    <fill>
      <patternFill patternType="solid">
        <fgColor rgb="FFBFBFBF"/>
        <bgColor rgb="FFBFBFBF"/>
      </patternFill>
    </fill>
    <fill>
      <patternFill patternType="solid">
        <fgColor rgb="FF0070C0"/>
        <bgColor rgb="FF0070C0"/>
      </patternFill>
    </fill>
    <fill>
      <patternFill patternType="solid">
        <fgColor rgb="FF3F3F3F"/>
        <bgColor rgb="FF3F3F3F"/>
      </patternFill>
    </fill>
    <fill>
      <patternFill patternType="solid">
        <fgColor theme="0"/>
        <bgColor theme="0"/>
      </patternFill>
    </fill>
    <fill>
      <patternFill patternType="solid">
        <fgColor rgb="FFD8D8D8"/>
        <bgColor rgb="FFD8D8D8"/>
      </patternFill>
    </fill>
  </fills>
  <borders count="50">
    <border/>
    <border>
      <left/>
      <right/>
      <top/>
      <bottom/>
    </border>
    <border>
      <left style="thin">
        <color rgb="FFBFBFBF"/>
      </left>
      <right/>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left style="medium">
        <color rgb="FF000000"/>
      </left>
      <right style="medium">
        <color rgb="FF000000"/>
      </right>
      <top style="medium">
        <color rgb="FF000000"/>
      </top>
    </border>
    <border>
      <left style="medium">
        <color rgb="FF000000"/>
      </left>
    </border>
    <border>
      <right style="medium">
        <color rgb="FF000000"/>
      </right>
    </border>
    <border>
      <left style="medium">
        <color rgb="FF000000"/>
      </left>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medium">
        <color rgb="FF000000"/>
      </right>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right style="medium">
        <color rgb="FF000000"/>
      </right>
    </border>
    <border>
      <right style="thin">
        <color rgb="FF000000"/>
      </right>
    </border>
    <border>
      <left style="thin">
        <color rgb="FF000000"/>
      </left>
      <right style="medium">
        <color rgb="FF000000"/>
      </right>
      <bottom style="thin">
        <color rgb="FF000000"/>
      </bottom>
    </border>
    <border>
      <right style="medium">
        <color rgb="FF000000"/>
      </right>
      <bottom style="thin">
        <color rgb="FF000000"/>
      </bottom>
    </border>
    <border>
      <right style="thin">
        <color rgb="FF000000"/>
      </right>
      <bottom style="thin">
        <color rgb="FF000000"/>
      </bottom>
    </border>
    <border>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medium">
        <color rgb="FF000000"/>
      </left>
      <right style="thin">
        <color rgb="FF000000"/>
      </right>
      <top style="thin">
        <color rgb="FF000000"/>
      </top>
    </border>
    <border>
      <left style="medium">
        <color rgb="FF000000"/>
      </left>
      <right style="thin">
        <color rgb="FF000000"/>
      </right>
    </border>
    <border>
      <left style="medium">
        <color rgb="FF000000"/>
      </left>
      <right style="thin">
        <color rgb="FF000000"/>
      </right>
      <bottom style="thin">
        <color rgb="FF000000"/>
      </bottom>
    </border>
    <border>
      <left style="medium">
        <color rgb="FF000000"/>
      </left>
      <right style="thin">
        <color rgb="FF000000"/>
      </right>
      <bottom style="medium">
        <color rgb="FF000000"/>
      </bottom>
    </border>
  </borders>
  <cellStyleXfs count="1">
    <xf borderId="0" fillId="0" fontId="0" numFmtId="0" applyAlignment="1" applyFont="1"/>
  </cellStyleXfs>
  <cellXfs count="135">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22" xfId="0" applyFont="1" applyNumberFormat="1"/>
    <xf borderId="0" fillId="0" fontId="4" numFmtId="0" xfId="0" applyFont="1"/>
    <xf borderId="1" fillId="2" fontId="4" numFmtId="0" xfId="0" applyBorder="1" applyFill="1" applyFont="1"/>
    <xf borderId="1" fillId="3" fontId="4" numFmtId="0" xfId="0" applyBorder="1" applyFill="1" applyFont="1"/>
    <xf borderId="1" fillId="3" fontId="2" numFmtId="0" xfId="0" applyBorder="1" applyFont="1"/>
    <xf borderId="1" fillId="2" fontId="5" numFmtId="0" xfId="0" applyBorder="1" applyFont="1"/>
    <xf borderId="1" fillId="2" fontId="2" numFmtId="0" xfId="0" applyBorder="1" applyFont="1"/>
    <xf borderId="1" fillId="3" fontId="5" numFmtId="0" xfId="0" applyBorder="1" applyFont="1"/>
    <xf borderId="0" fillId="0" fontId="6" numFmtId="0" xfId="0" applyFont="1"/>
    <xf borderId="1" fillId="4" fontId="2" numFmtId="0" xfId="0" applyBorder="1" applyFill="1" applyFont="1"/>
    <xf borderId="1" fillId="4" fontId="7" numFmtId="0" xfId="0" applyBorder="1" applyFont="1"/>
    <xf borderId="0" fillId="0" fontId="8" numFmtId="0" xfId="0" applyFont="1"/>
    <xf borderId="0" fillId="0" fontId="9" numFmtId="0" xfId="0" applyFont="1"/>
    <xf borderId="0" fillId="0" fontId="10" numFmtId="0" xfId="0" applyFont="1"/>
    <xf borderId="1" fillId="5" fontId="11" numFmtId="0" xfId="0" applyAlignment="1" applyBorder="1" applyFill="1" applyFont="1">
      <alignment horizontal="center" vertical="center"/>
    </xf>
    <xf borderId="1" fillId="6" fontId="12" numFmtId="0" xfId="0" applyAlignment="1" applyBorder="1" applyFill="1" applyFont="1">
      <alignment horizontal="center" vertical="center"/>
    </xf>
    <xf borderId="2" fillId="7" fontId="12" numFmtId="164" xfId="0" applyAlignment="1" applyBorder="1" applyFill="1" applyFont="1" applyNumberFormat="1">
      <alignment horizontal="center" vertical="center"/>
    </xf>
    <xf borderId="1" fillId="8" fontId="11" numFmtId="0" xfId="0" applyAlignment="1" applyBorder="1" applyFill="1" applyFont="1">
      <alignment horizontal="center" vertical="center"/>
    </xf>
    <xf borderId="0" fillId="0" fontId="2" numFmtId="165" xfId="0" applyAlignment="1" applyFont="1" applyNumberFormat="1">
      <alignment horizontal="center"/>
    </xf>
    <xf borderId="0" fillId="0" fontId="2" numFmtId="0" xfId="0" applyAlignment="1" applyFont="1">
      <alignment horizontal="center"/>
    </xf>
    <xf borderId="0" fillId="0" fontId="2" numFmtId="9" xfId="0" applyFont="1" applyNumberFormat="1"/>
    <xf borderId="0" fillId="0" fontId="13" numFmtId="0" xfId="0" applyFont="1"/>
    <xf borderId="3" fillId="3" fontId="14" numFmtId="0" xfId="0" applyAlignment="1" applyBorder="1" applyFont="1">
      <alignment horizontal="center" shrinkToFit="0" vertical="bottom" wrapText="1"/>
    </xf>
    <xf borderId="3" fillId="0" fontId="15" numFmtId="0" xfId="0" applyAlignment="1" applyBorder="1" applyFont="1">
      <alignment horizontal="center" vertical="bottom"/>
    </xf>
    <xf borderId="4" fillId="0" fontId="15" numFmtId="0" xfId="0" applyAlignment="1" applyBorder="1" applyFont="1">
      <alignment vertical="bottom"/>
    </xf>
    <xf borderId="4" fillId="0" fontId="15" numFmtId="0" xfId="0" applyAlignment="1" applyBorder="1" applyFont="1">
      <alignment horizontal="center" vertical="bottom"/>
    </xf>
    <xf borderId="5" fillId="0" fontId="15" numFmtId="0" xfId="0" applyAlignment="1" applyBorder="1" applyFont="1">
      <alignment vertical="bottom"/>
    </xf>
    <xf borderId="5" fillId="0" fontId="15" numFmtId="9" xfId="0" applyAlignment="1" applyBorder="1" applyFont="1" applyNumberFormat="1">
      <alignment horizontal="center" readingOrder="0" vertical="bottom"/>
    </xf>
    <xf borderId="0" fillId="0" fontId="2" numFmtId="2" xfId="0" applyAlignment="1" applyFont="1" applyNumberFormat="1">
      <alignment horizontal="center"/>
    </xf>
    <xf borderId="0" fillId="0" fontId="16" numFmtId="0" xfId="0" applyFont="1"/>
    <xf borderId="0" fillId="0" fontId="17" numFmtId="0" xfId="0" applyAlignment="1" applyFont="1">
      <alignment horizontal="left" vertical="center"/>
    </xf>
    <xf borderId="6" fillId="0" fontId="2" numFmtId="0" xfId="0" applyBorder="1" applyFont="1"/>
    <xf borderId="7" fillId="0" fontId="3" numFmtId="0" xfId="0" applyAlignment="1" applyBorder="1" applyFont="1">
      <alignment horizontal="center"/>
    </xf>
    <xf borderId="8" fillId="0" fontId="3" numFmtId="0" xfId="0" applyAlignment="1" applyBorder="1" applyFont="1">
      <alignment horizontal="center"/>
    </xf>
    <xf borderId="9" fillId="0" fontId="2" numFmtId="0" xfId="0" applyAlignment="1" applyBorder="1" applyFont="1">
      <alignment horizontal="center"/>
    </xf>
    <xf borderId="10" fillId="0" fontId="3" numFmtId="0" xfId="0" applyAlignment="1" applyBorder="1" applyFont="1">
      <alignment horizontal="center"/>
    </xf>
    <xf borderId="11" fillId="0" fontId="2" numFmtId="2" xfId="0" applyBorder="1" applyFont="1" applyNumberFormat="1"/>
    <xf borderId="12" fillId="0" fontId="2" numFmtId="0" xfId="0" applyBorder="1" applyFont="1"/>
    <xf borderId="13" fillId="0" fontId="18" numFmtId="0" xfId="0" applyAlignment="1" applyBorder="1" applyFont="1">
      <alignment horizontal="center"/>
    </xf>
    <xf borderId="13" fillId="0" fontId="19" numFmtId="0" xfId="0" applyBorder="1" applyFont="1"/>
    <xf borderId="6" fillId="0" fontId="2" numFmtId="0" xfId="0" applyAlignment="1" applyBorder="1" applyFont="1">
      <alignment horizontal="center" vertical="center"/>
    </xf>
    <xf borderId="7" fillId="0" fontId="2" numFmtId="166" xfId="0" applyAlignment="1" applyBorder="1" applyFont="1" applyNumberFormat="1">
      <alignment horizontal="center"/>
    </xf>
    <xf borderId="8" fillId="0" fontId="2" numFmtId="0" xfId="0" applyBorder="1" applyFont="1"/>
    <xf borderId="14" fillId="0" fontId="2" numFmtId="166" xfId="0" applyAlignment="1" applyBorder="1" applyFont="1" applyNumberFormat="1">
      <alignment horizontal="center" vertical="center"/>
    </xf>
    <xf borderId="15" fillId="0" fontId="19" numFmtId="0" xfId="0" applyBorder="1" applyFont="1"/>
    <xf borderId="0" fillId="0" fontId="2" numFmtId="166" xfId="0" applyAlignment="1" applyFont="1" applyNumberFormat="1">
      <alignment horizontal="center"/>
    </xf>
    <xf borderId="16" fillId="0" fontId="2" numFmtId="0" xfId="0" applyBorder="1" applyFont="1"/>
    <xf borderId="17" fillId="0" fontId="19" numFmtId="0" xfId="0" applyBorder="1" applyFont="1"/>
    <xf borderId="18" fillId="0" fontId="19" numFmtId="0" xfId="0" applyBorder="1" applyFont="1"/>
    <xf borderId="19" fillId="0" fontId="2" numFmtId="166" xfId="0" applyAlignment="1" applyBorder="1" applyFont="1" applyNumberFormat="1">
      <alignment horizontal="center"/>
    </xf>
    <xf borderId="20" fillId="0" fontId="2" numFmtId="0" xfId="0" applyBorder="1" applyFont="1"/>
    <xf borderId="15" fillId="0" fontId="2" numFmtId="0" xfId="0" applyAlignment="1" applyBorder="1" applyFont="1">
      <alignment horizontal="center" vertical="center"/>
    </xf>
    <xf borderId="14" fillId="0" fontId="2" numFmtId="0" xfId="0" applyAlignment="1" applyBorder="1" applyFont="1">
      <alignment horizontal="center" vertical="center"/>
    </xf>
    <xf borderId="19" fillId="0" fontId="2" numFmtId="0" xfId="0" applyBorder="1" applyFont="1"/>
    <xf borderId="19" fillId="0" fontId="2" numFmtId="0" xfId="0" applyAlignment="1" applyBorder="1" applyFont="1">
      <alignment horizontal="center"/>
    </xf>
    <xf borderId="21" fillId="0" fontId="19" numFmtId="0" xfId="0" applyBorder="1" applyFont="1"/>
    <xf borderId="7" fillId="0" fontId="2" numFmtId="2" xfId="0" applyAlignment="1" applyBorder="1" applyFont="1" applyNumberFormat="1">
      <alignment horizontal="center"/>
    </xf>
    <xf borderId="14" fillId="0" fontId="2" numFmtId="2" xfId="0" applyAlignment="1" applyBorder="1" applyFont="1" applyNumberFormat="1">
      <alignment horizontal="center" vertical="center"/>
    </xf>
    <xf borderId="7" fillId="0" fontId="2" numFmtId="0" xfId="0" applyAlignment="1" applyBorder="1" applyFont="1">
      <alignment horizontal="center"/>
    </xf>
    <xf borderId="7" fillId="0" fontId="2" numFmtId="9" xfId="0" applyAlignment="1" applyBorder="1" applyFont="1" applyNumberFormat="1">
      <alignment horizontal="center"/>
    </xf>
    <xf borderId="17" fillId="0" fontId="2" numFmtId="9" xfId="0" applyAlignment="1" applyBorder="1" applyFont="1" applyNumberFormat="1">
      <alignment horizontal="center" vertical="center"/>
    </xf>
    <xf borderId="0" fillId="0" fontId="2" numFmtId="9" xfId="0" applyAlignment="1" applyFont="1" applyNumberFormat="1">
      <alignment horizontal="center"/>
    </xf>
    <xf borderId="19" fillId="0" fontId="2" numFmtId="9" xfId="0" applyAlignment="1" applyBorder="1" applyFont="1" applyNumberFormat="1">
      <alignment horizontal="center"/>
    </xf>
    <xf borderId="12" fillId="0" fontId="20" numFmtId="0" xfId="0" applyBorder="1" applyFont="1"/>
    <xf borderId="1" fillId="2" fontId="3" numFmtId="0" xfId="0" applyBorder="1" applyFont="1"/>
    <xf borderId="1" fillId="2" fontId="21" numFmtId="0" xfId="0" applyAlignment="1" applyBorder="1" applyFont="1">
      <alignment horizontal="center"/>
    </xf>
    <xf borderId="0" fillId="0" fontId="21" numFmtId="0" xfId="0" applyFont="1"/>
    <xf borderId="0" fillId="0" fontId="21" numFmtId="0" xfId="0" applyAlignment="1" applyFont="1">
      <alignment horizontal="center"/>
    </xf>
    <xf borderId="0" fillId="0" fontId="22" numFmtId="0" xfId="0" applyAlignment="1" applyFont="1">
      <alignment horizontal="center"/>
    </xf>
    <xf borderId="0" fillId="0" fontId="22" numFmtId="0" xfId="0" applyFont="1"/>
    <xf borderId="0" fillId="0" fontId="21" numFmtId="165" xfId="0" applyFont="1" applyNumberFormat="1"/>
    <xf borderId="0" fillId="0" fontId="21" numFmtId="9" xfId="0" applyFont="1" applyNumberFormat="1"/>
    <xf borderId="11" fillId="0" fontId="2" numFmtId="0" xfId="0" applyBorder="1" applyFont="1"/>
    <xf borderId="0" fillId="0" fontId="23" numFmtId="0" xfId="0" applyAlignment="1" applyFont="1">
      <alignment readingOrder="0"/>
    </xf>
    <xf borderId="0" fillId="0" fontId="24" numFmtId="0" xfId="0" applyFont="1"/>
    <xf borderId="22" fillId="0" fontId="3" numFmtId="0" xfId="0" applyAlignment="1" applyBorder="1" applyFont="1">
      <alignment horizontal="center"/>
    </xf>
    <xf borderId="23" fillId="0" fontId="19" numFmtId="0" xfId="0" applyBorder="1" applyFont="1"/>
    <xf borderId="24" fillId="0" fontId="19" numFmtId="0" xfId="0" applyBorder="1" applyFont="1"/>
    <xf borderId="25" fillId="0" fontId="2" numFmtId="0" xfId="0" applyBorder="1" applyFont="1"/>
    <xf borderId="26" fillId="0" fontId="2" numFmtId="0" xfId="0" applyBorder="1" applyFont="1"/>
    <xf borderId="27" fillId="0" fontId="2" numFmtId="0" xfId="0" applyBorder="1" applyFont="1"/>
    <xf borderId="28" fillId="0" fontId="2" numFmtId="0" xfId="0" applyBorder="1" applyFont="1"/>
    <xf borderId="29" fillId="0" fontId="2" numFmtId="0" xfId="0" applyBorder="1" applyFont="1"/>
    <xf borderId="0" fillId="0" fontId="25" numFmtId="0" xfId="0" applyFont="1"/>
    <xf borderId="0" fillId="0" fontId="2" numFmtId="0" xfId="0" applyAlignment="1" applyFont="1">
      <alignment horizontal="left"/>
    </xf>
    <xf borderId="0" fillId="0" fontId="26" numFmtId="0" xfId="0" applyFont="1"/>
    <xf borderId="1" fillId="2" fontId="17" numFmtId="0" xfId="0" applyBorder="1" applyFont="1"/>
    <xf borderId="21" fillId="0" fontId="2" numFmtId="0" xfId="0" applyBorder="1" applyFont="1"/>
    <xf borderId="0" fillId="0" fontId="27" numFmtId="0" xfId="0" applyAlignment="1" applyFont="1">
      <alignment horizontal="center"/>
    </xf>
    <xf borderId="14" fillId="0" fontId="2" numFmtId="166" xfId="0" applyAlignment="1" applyBorder="1" applyFont="1" applyNumberFormat="1">
      <alignment horizontal="center"/>
    </xf>
    <xf borderId="14" fillId="0" fontId="2" numFmtId="0" xfId="0" applyBorder="1" applyFont="1"/>
    <xf borderId="17" fillId="0" fontId="2" numFmtId="166" xfId="0" applyAlignment="1" applyBorder="1" applyFont="1" applyNumberFormat="1">
      <alignment horizontal="center"/>
    </xf>
    <xf borderId="17" fillId="0" fontId="2" numFmtId="0" xfId="0" applyBorder="1" applyFont="1"/>
    <xf borderId="21" fillId="0" fontId="2" numFmtId="166" xfId="0" applyAlignment="1" applyBorder="1" applyFont="1" applyNumberFormat="1">
      <alignment horizontal="center"/>
    </xf>
    <xf borderId="17" fillId="0" fontId="2" numFmtId="0" xfId="0" applyAlignment="1" applyBorder="1" applyFont="1">
      <alignment horizontal="center" vertical="center"/>
    </xf>
    <xf borderId="0" fillId="0" fontId="28" numFmtId="0" xfId="0" applyFont="1"/>
    <xf borderId="0" fillId="0" fontId="22" numFmtId="165" xfId="0" applyFont="1" applyNumberFormat="1"/>
    <xf borderId="18" fillId="0" fontId="2" numFmtId="0" xfId="0" applyAlignment="1" applyBorder="1" applyFont="1">
      <alignment horizontal="center" vertical="center"/>
    </xf>
    <xf borderId="0" fillId="0" fontId="2" numFmtId="165" xfId="0" applyAlignment="1" applyFont="1" applyNumberFormat="1">
      <alignment horizontal="left"/>
    </xf>
    <xf borderId="0" fillId="0" fontId="29" numFmtId="0" xfId="0" applyAlignment="1" applyFont="1">
      <alignment horizontal="left" shrinkToFit="0" vertical="top" wrapText="1"/>
    </xf>
    <xf borderId="0" fillId="0" fontId="2" numFmtId="0" xfId="0" applyAlignment="1" applyFont="1">
      <alignment vertical="center"/>
    </xf>
    <xf borderId="30" fillId="0" fontId="19" numFmtId="0" xfId="0" applyBorder="1" applyFont="1"/>
    <xf borderId="31" fillId="0" fontId="2" numFmtId="0" xfId="0" applyBorder="1" applyFont="1"/>
    <xf borderId="32" fillId="0" fontId="2" numFmtId="0" xfId="0" applyAlignment="1" applyBorder="1" applyFont="1">
      <alignment horizontal="center"/>
    </xf>
    <xf borderId="33" fillId="0" fontId="19" numFmtId="0" xfId="0" applyBorder="1" applyFont="1"/>
    <xf borderId="34" fillId="0" fontId="2" numFmtId="0" xfId="0" applyBorder="1" applyFont="1"/>
    <xf borderId="35" fillId="0" fontId="2" numFmtId="0" xfId="0" applyBorder="1" applyFont="1"/>
    <xf borderId="36" fillId="0" fontId="2" numFmtId="0" xfId="0" applyAlignment="1" applyBorder="1" applyFont="1">
      <alignment horizontal="center"/>
    </xf>
    <xf borderId="37" fillId="0" fontId="19" numFmtId="0" xfId="0" applyBorder="1" applyFont="1"/>
    <xf borderId="38" fillId="0" fontId="2" numFmtId="9" xfId="0" applyBorder="1" applyFont="1" applyNumberFormat="1"/>
    <xf borderId="39" fillId="0" fontId="2" numFmtId="9" xfId="0" applyBorder="1" applyFont="1" applyNumberFormat="1"/>
    <xf borderId="40" fillId="0" fontId="2" numFmtId="0" xfId="0" applyAlignment="1" applyBorder="1" applyFont="1">
      <alignment horizontal="center"/>
    </xf>
    <xf borderId="41" fillId="0" fontId="2" numFmtId="0" xfId="0" applyBorder="1" applyFont="1"/>
    <xf borderId="42" fillId="0" fontId="2" numFmtId="0" xfId="0" applyBorder="1" applyFont="1"/>
    <xf borderId="43" fillId="0" fontId="2" numFmtId="0" xfId="0" applyAlignment="1" applyBorder="1" applyFont="1">
      <alignment horizontal="center"/>
    </xf>
    <xf borderId="44" fillId="0" fontId="19" numFmtId="0" xfId="0" applyBorder="1" applyFont="1"/>
    <xf borderId="45" fillId="0" fontId="2" numFmtId="0" xfId="0" applyBorder="1" applyFont="1"/>
    <xf borderId="38" fillId="0" fontId="2" numFmtId="0" xfId="0" applyBorder="1" applyFont="1"/>
    <xf borderId="39" fillId="0" fontId="2" numFmtId="0" xfId="0" applyBorder="1" applyFont="1"/>
    <xf borderId="46" fillId="9" fontId="2" numFmtId="0" xfId="0" applyAlignment="1" applyBorder="1" applyFill="1" applyFont="1">
      <alignment horizontal="center"/>
    </xf>
    <xf borderId="38" fillId="9" fontId="2" numFmtId="165" xfId="0" applyBorder="1" applyFont="1" applyNumberFormat="1"/>
    <xf borderId="38" fillId="9" fontId="2" numFmtId="0" xfId="0" applyBorder="1" applyFont="1"/>
    <xf borderId="39" fillId="9" fontId="2" numFmtId="0" xfId="0" applyBorder="1" applyFont="1"/>
    <xf borderId="47" fillId="0" fontId="19" numFmtId="0" xfId="0" applyBorder="1" applyFont="1"/>
    <xf borderId="48" fillId="0" fontId="19" numFmtId="0" xfId="0" applyBorder="1" applyFont="1"/>
    <xf borderId="46" fillId="0" fontId="2" numFmtId="0" xfId="0" applyAlignment="1" applyBorder="1" applyFont="1">
      <alignment horizontal="center"/>
    </xf>
    <xf borderId="38" fillId="9" fontId="2" numFmtId="9" xfId="0" applyBorder="1" applyFont="1" applyNumberFormat="1"/>
    <xf borderId="49" fillId="0" fontId="19" numFmtId="0" xfId="0" applyBorder="1" applyFont="1"/>
    <xf borderId="41" fillId="9" fontId="2" numFmtId="9" xfId="0" applyBorder="1" applyFont="1" applyNumberFormat="1"/>
    <xf borderId="41" fillId="9" fontId="2" numFmtId="0" xfId="0" applyBorder="1" applyFont="1"/>
    <xf borderId="42" fillId="9"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externalLink" Target="externalLinks/externalLink2.xml"/><Relationship Id="rId16" Type="http://schemas.openxmlformats.org/officeDocument/2006/relationships/externalLink" Target="externalLinks/externalLink1.xml"/><Relationship Id="rId5" Type="http://schemas.openxmlformats.org/officeDocument/2006/relationships/worksheet" Target="worksheets/sheet2.xml"/><Relationship Id="rId19" Type="http://schemas.openxmlformats.org/officeDocument/2006/relationships/pivotCacheDefinition" Target="pivotCache/pivotCacheDefinition2.xml"/><Relationship Id="rId6" Type="http://schemas.openxmlformats.org/officeDocument/2006/relationships/worksheet" Target="worksheets/sheet3.xml"/><Relationship Id="rId18" Type="http://schemas.openxmlformats.org/officeDocument/2006/relationships/pivotCacheDefinition" Target="pivotCache/pivotCacheDefinition1.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Calibri"/>
              </a:defRPr>
            </a:pPr>
            <a:r>
              <a:rPr b="0" i="0" sz="1400">
                <a:solidFill>
                  <a:srgbClr val="757575"/>
                </a:solidFill>
                <a:latin typeface="Calibri"/>
              </a:rPr>
              <a:t>Part-worths of Annual Fee</a:t>
            </a:r>
          </a:p>
        </c:rich>
      </c:tx>
      <c:overlay val="0"/>
    </c:title>
    <c:plotArea>
      <c:layout/>
      <c:lineChart>
        <c:ser>
          <c:idx val="0"/>
          <c:order val="0"/>
          <c:tx>
            <c:v>Respondent_5</c:v>
          </c:tx>
          <c:spPr>
            <a:ln cmpd="sng" w="28575">
              <a:solidFill>
                <a:schemeClr val="accent1"/>
              </a:solidFill>
            </a:ln>
          </c:spPr>
          <c:marker>
            <c:symbol val="circle"/>
            <c:size val="5"/>
            <c:spPr>
              <a:solidFill>
                <a:schemeClr val="accent1"/>
              </a:solidFill>
              <a:ln cmpd="sng">
                <a:solidFill>
                  <a:schemeClr val="accent1"/>
                </a:solidFill>
              </a:ln>
            </c:spPr>
          </c:marker>
          <c:cat>
            <c:strRef>
              <c:f>'C'!$K$33:$K$36</c:f>
            </c:strRef>
          </c:cat>
          <c:val>
            <c:numRef>
              <c:f>'C'!$L$33:$L$36</c:f>
              <c:numCache/>
            </c:numRef>
          </c:val>
          <c:smooth val="0"/>
        </c:ser>
        <c:ser>
          <c:idx val="1"/>
          <c:order val="1"/>
          <c:tx>
            <c:v>Respondent_6</c:v>
          </c:tx>
          <c:spPr>
            <a:ln cmpd="sng" w="28575">
              <a:solidFill>
                <a:schemeClr val="accent2"/>
              </a:solidFill>
            </a:ln>
          </c:spPr>
          <c:marker>
            <c:symbol val="circle"/>
            <c:size val="5"/>
            <c:spPr>
              <a:solidFill>
                <a:schemeClr val="accent2"/>
              </a:solidFill>
              <a:ln cmpd="sng">
                <a:solidFill>
                  <a:schemeClr val="accent2"/>
                </a:solidFill>
              </a:ln>
            </c:spPr>
          </c:marker>
          <c:cat>
            <c:strRef>
              <c:f>'C'!$K$33:$K$36</c:f>
            </c:strRef>
          </c:cat>
          <c:val>
            <c:numRef>
              <c:f>'C'!$M$33:$M$36</c:f>
              <c:numCache/>
            </c:numRef>
          </c:val>
          <c:smooth val="0"/>
        </c:ser>
        <c:ser>
          <c:idx val="2"/>
          <c:order val="2"/>
          <c:tx>
            <c:v>Respondent_7</c:v>
          </c:tx>
          <c:spPr>
            <a:ln cmpd="sng" w="28575">
              <a:solidFill>
                <a:schemeClr val="accent3"/>
              </a:solidFill>
            </a:ln>
          </c:spPr>
          <c:marker>
            <c:symbol val="circle"/>
            <c:size val="5"/>
            <c:spPr>
              <a:solidFill>
                <a:schemeClr val="accent3"/>
              </a:solidFill>
              <a:ln cmpd="sng">
                <a:solidFill>
                  <a:schemeClr val="accent3"/>
                </a:solidFill>
              </a:ln>
            </c:spPr>
          </c:marker>
          <c:cat>
            <c:strRef>
              <c:f>'C'!$K$33:$K$36</c:f>
            </c:strRef>
          </c:cat>
          <c:val>
            <c:numRef>
              <c:f>'C'!$N$33:$N$36</c:f>
              <c:numCache/>
            </c:numRef>
          </c:val>
          <c:smooth val="0"/>
        </c:ser>
        <c:ser>
          <c:idx val="3"/>
          <c:order val="3"/>
          <c:tx>
            <c:v>Respondent_8</c:v>
          </c:tx>
          <c:spPr>
            <a:ln cmpd="sng" w="28575">
              <a:solidFill>
                <a:schemeClr val="accent4"/>
              </a:solidFill>
            </a:ln>
          </c:spPr>
          <c:marker>
            <c:symbol val="circle"/>
            <c:size val="5"/>
            <c:spPr>
              <a:solidFill>
                <a:schemeClr val="accent4"/>
              </a:solidFill>
              <a:ln cmpd="sng">
                <a:solidFill>
                  <a:schemeClr val="accent4"/>
                </a:solidFill>
              </a:ln>
            </c:spPr>
          </c:marker>
          <c:cat>
            <c:strRef>
              <c:f>'C'!$K$33:$K$36</c:f>
            </c:strRef>
          </c:cat>
          <c:val>
            <c:numRef>
              <c:f>'C'!$O$33:$O$36</c:f>
              <c:numCache/>
            </c:numRef>
          </c:val>
          <c:smooth val="0"/>
        </c:ser>
        <c:ser>
          <c:idx val="4"/>
          <c:order val="4"/>
          <c:tx>
            <c:v>Respondent_9</c:v>
          </c:tx>
          <c:spPr>
            <a:ln cmpd="sng" w="28575">
              <a:solidFill>
                <a:schemeClr val="accent5"/>
              </a:solidFill>
            </a:ln>
          </c:spPr>
          <c:marker>
            <c:symbol val="circle"/>
            <c:size val="5"/>
            <c:spPr>
              <a:solidFill>
                <a:schemeClr val="accent5"/>
              </a:solidFill>
              <a:ln cmpd="sng">
                <a:solidFill>
                  <a:schemeClr val="accent5"/>
                </a:solidFill>
              </a:ln>
            </c:spPr>
          </c:marker>
          <c:cat>
            <c:strRef>
              <c:f>'C'!$K$33:$K$36</c:f>
            </c:strRef>
          </c:cat>
          <c:val>
            <c:numRef>
              <c:f>'C'!$P$33:$P$36</c:f>
              <c:numCache/>
            </c:numRef>
          </c:val>
          <c:smooth val="0"/>
        </c:ser>
        <c:axId val="2024625702"/>
        <c:axId val="865390151"/>
      </c:lineChart>
      <c:catAx>
        <c:axId val="202462570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Calibri"/>
              </a:defRPr>
            </a:pPr>
          </a:p>
        </c:txPr>
        <c:crossAx val="865390151"/>
      </c:catAx>
      <c:valAx>
        <c:axId val="86539015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Calibri"/>
              </a:defRPr>
            </a:pPr>
          </a:p>
        </c:txPr>
        <c:crossAx val="2024625702"/>
      </c:valAx>
    </c:plotArea>
    <c:legend>
      <c:legendPos val="b"/>
      <c:overlay val="0"/>
      <c:txPr>
        <a:bodyPr/>
        <a:lstStyle/>
        <a:p>
          <a:pPr lvl="0">
            <a:defRPr b="0" i="0" sz="900">
              <a:solidFill>
                <a:srgbClr val="1A1A1A"/>
              </a:solidFill>
              <a:latin typeface="Calibri"/>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190500</xdr:colOff>
      <xdr:row>27</xdr:row>
      <xdr:rowOff>219075</xdr:rowOff>
    </xdr:from>
    <xdr:ext cx="8705850" cy="3143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37</xdr:row>
      <xdr:rowOff>9525</xdr:rowOff>
    </xdr:from>
    <xdr:ext cx="5324475" cy="3924300"/>
    <xdr:graphicFrame>
      <xdr:nvGraphicFramePr>
        <xdr:cNvPr id="1887537598"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0</xdr:row>
      <xdr:rowOff>0</xdr:rowOff>
    </xdr:from>
    <xdr:ext cx="6257925" cy="2676525"/>
    <xdr:sp>
      <xdr:nvSpPr>
        <xdr:cNvPr id="3" name="Shape 3"/>
        <xdr:cNvSpPr txBox="1"/>
      </xdr:nvSpPr>
      <xdr:spPr>
        <a:xfrm>
          <a:off x="2217038" y="2446500"/>
          <a:ext cx="6257925" cy="26670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Using the maximum utility rule, I compared the total utilities of Product X and Product Y for all ten respondents.</a:t>
          </a:r>
          <a:endParaRPr sz="1100"/>
        </a:p>
        <a:p>
          <a:pPr indent="0" lvl="0" marL="0" rtl="0" algn="l">
            <a:spcBef>
              <a:spcPts val="0"/>
            </a:spcBef>
            <a:spcAft>
              <a:spcPts val="0"/>
            </a:spcAft>
            <a:buNone/>
          </a:pPr>
          <a:r>
            <a:rPr lang="en-US" sz="1100">
              <a:solidFill>
                <a:schemeClr val="dk1"/>
              </a:solidFill>
              <a:latin typeface="Calibri"/>
              <a:ea typeface="Calibri"/>
              <a:cs typeface="Calibri"/>
              <a:sym typeface="Calibri"/>
            </a:rPr>
            <a:t>For each respondent, I calculated the total utility by adding the part-worths from the A – all 10 table (numbers were copied directly from that sheet).</a:t>
          </a:r>
          <a:endParaRPr sz="1100"/>
        </a:p>
        <a:p>
          <a:pPr indent="0" lvl="0" marL="0" rtl="0" algn="l">
            <a:spcBef>
              <a:spcPts val="0"/>
            </a:spcBef>
            <a:spcAft>
              <a:spcPts val="0"/>
            </a:spcAft>
            <a:buNone/>
          </a:pPr>
          <a:r>
            <a:rPr lang="en-US" sz="1100">
              <a:solidFill>
                <a:schemeClr val="dk1"/>
              </a:solidFill>
              <a:latin typeface="Calibri"/>
              <a:ea typeface="Calibri"/>
              <a:cs typeface="Calibri"/>
              <a:sym typeface="Calibri"/>
            </a:rPr>
            <a:t>Product X = Intercept + (all base levels = 0)</a:t>
          </a:r>
          <a:endParaRPr sz="1100"/>
        </a:p>
        <a:p>
          <a:pPr indent="0" lvl="0" marL="0" rtl="0" algn="l">
            <a:spcBef>
              <a:spcPts val="0"/>
            </a:spcBef>
            <a:spcAft>
              <a:spcPts val="0"/>
            </a:spcAft>
            <a:buNone/>
          </a:pPr>
          <a:r>
            <a:rPr lang="en-US" sz="1100">
              <a:solidFill>
                <a:schemeClr val="dk1"/>
              </a:solidFill>
              <a:latin typeface="Calibri"/>
              <a:ea typeface="Calibri"/>
              <a:cs typeface="Calibri"/>
              <a:sym typeface="Calibri"/>
            </a:rPr>
            <a:t>Product Y = Intercept + (Annual Fee $100) + (Rent Cashback 1%) + (Mastercard) + (Interest Rate 20%)</a:t>
          </a:r>
          <a:endParaRPr sz="1100"/>
        </a:p>
        <a:p>
          <a:pPr indent="0" lvl="0" marL="0" rtl="0" algn="l">
            <a:spcBef>
              <a:spcPts val="0"/>
            </a:spcBef>
            <a:spcAft>
              <a:spcPts val="0"/>
            </a:spcAft>
            <a:buNone/>
          </a:pPr>
          <a:r>
            <a:rPr lang="en-US" sz="1100">
              <a:solidFill>
                <a:schemeClr val="dk1"/>
              </a:solidFill>
              <a:latin typeface="Calibri"/>
              <a:ea typeface="Calibri"/>
              <a:cs typeface="Calibri"/>
              <a:sym typeface="Calibri"/>
            </a:rPr>
            <a:t>After computing, all ten respondents had a higher total utility for Product X (for example, Respondent 7: X = 6.04, Y = 5.41 — both values from A – all 10).</a:t>
          </a:r>
          <a:endParaRPr sz="1100"/>
        </a:p>
        <a:p>
          <a:pPr indent="0" lvl="0" marL="0" rtl="0" algn="l">
            <a:spcBef>
              <a:spcPts val="0"/>
            </a:spcBef>
            <a:spcAft>
              <a:spcPts val="0"/>
            </a:spcAft>
            <a:buNone/>
          </a:pPr>
          <a:r>
            <a:rPr lang="en-US" sz="1100">
              <a:solidFill>
                <a:schemeClr val="dk1"/>
              </a:solidFill>
              <a:latin typeface="Calibri"/>
              <a:ea typeface="Calibri"/>
              <a:cs typeface="Calibri"/>
              <a:sym typeface="Calibri"/>
            </a:rPr>
            <a:t>Therefore, using the maximum utility rule:</a:t>
          </a:r>
          <a:endParaRPr sz="1100"/>
        </a:p>
        <a:p>
          <a:pPr indent="0" lvl="0" marL="0" rtl="0" algn="l">
            <a:spcBef>
              <a:spcPts val="0"/>
            </a:spcBef>
            <a:spcAft>
              <a:spcPts val="0"/>
            </a:spcAft>
            <a:buNone/>
          </a:pPr>
          <a:r>
            <a:rPr lang="en-US" sz="1100">
              <a:solidFill>
                <a:schemeClr val="dk1"/>
              </a:solidFill>
              <a:latin typeface="Calibri"/>
              <a:ea typeface="Calibri"/>
              <a:cs typeface="Calibri"/>
              <a:sym typeface="Calibri"/>
            </a:rPr>
            <a:t>Estimated Market Share of Product X = 100%</a:t>
          </a:r>
          <a:endParaRPr sz="1100"/>
        </a:p>
        <a:p>
          <a:pPr indent="0" lvl="0" marL="0" rtl="0" algn="l">
            <a:spcBef>
              <a:spcPts val="0"/>
            </a:spcBef>
            <a:spcAft>
              <a:spcPts val="0"/>
            </a:spcAft>
            <a:buNone/>
          </a:pPr>
          <a:r>
            <a:rPr lang="en-US" sz="1100">
              <a:solidFill>
                <a:schemeClr val="dk1"/>
              </a:solidFill>
              <a:latin typeface="Calibri"/>
              <a:ea typeface="Calibri"/>
              <a:cs typeface="Calibri"/>
              <a:sym typeface="Calibri"/>
            </a:rPr>
            <a:t>Estimated Market Share of Product Y = 0%</a:t>
          </a:r>
          <a:endParaRPr sz="1100"/>
        </a:p>
        <a:p>
          <a:pPr indent="0" lvl="0" marL="0" rtl="0" algn="l">
            <a:spcBef>
              <a:spcPts val="0"/>
            </a:spcBef>
            <a:spcAft>
              <a:spcPts val="0"/>
            </a:spcAft>
            <a:buNone/>
          </a:pPr>
          <a:r>
            <a:rPr lang="en-US" sz="1100">
              <a:solidFill>
                <a:schemeClr val="dk1"/>
              </a:solidFill>
              <a:latin typeface="Calibri"/>
              <a:ea typeface="Calibri"/>
              <a:cs typeface="Calibri"/>
              <a:sym typeface="Calibri"/>
            </a:rPr>
            <a:t>This means all respondents preferred Product X because it has lower cost, better rewards, and a lower interest rate, which aligns with normal consumer behavior.</a:t>
          </a:r>
          <a:endParaRPr sz="1100"/>
        </a:p>
      </xdr:txBody>
    </xdr:sp>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628650</xdr:colOff>
      <xdr:row>0</xdr:row>
      <xdr:rowOff>9525</xdr:rowOff>
    </xdr:from>
    <xdr:ext cx="6343650" cy="2895600"/>
    <xdr:sp>
      <xdr:nvSpPr>
        <xdr:cNvPr id="4" name="Shape 4"/>
        <xdr:cNvSpPr txBox="1"/>
      </xdr:nvSpPr>
      <xdr:spPr>
        <a:xfrm>
          <a:off x="2178938" y="2336963"/>
          <a:ext cx="6334125" cy="28860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To explore potential new products, we introduced three new profiles: Z1, Z2, and Z3, each designed to differ from the two existing market options (X and Y).</a:t>
          </a:r>
          <a:endParaRPr sz="1100"/>
        </a:p>
        <a:p>
          <a:pPr indent="0" lvl="0" marL="0" rtl="0" algn="l">
            <a:spcBef>
              <a:spcPts val="0"/>
            </a:spcBef>
            <a:spcAft>
              <a:spcPts val="0"/>
            </a:spcAft>
            <a:buNone/>
          </a:pPr>
          <a:r>
            <a:rPr lang="en-US" sz="1100">
              <a:solidFill>
                <a:schemeClr val="dk1"/>
              </a:solidFill>
              <a:latin typeface="Calibri"/>
              <a:ea typeface="Calibri"/>
              <a:cs typeface="Calibri"/>
              <a:sym typeface="Calibri"/>
            </a:rPr>
            <a:t>Z1 (“mid-range”): Annual fee $50, Travel &amp; Transportation Reward (2%), Amex network, 15% APR, Sign-up Bonus = Yes</a:t>
          </a:r>
          <a:endParaRPr sz="1100"/>
        </a:p>
        <a:p>
          <a:pPr indent="0" lvl="0" marL="0" rtl="0" algn="l">
            <a:spcBef>
              <a:spcPts val="0"/>
            </a:spcBef>
            <a:spcAft>
              <a:spcPts val="0"/>
            </a:spcAft>
            <a:buNone/>
          </a:pPr>
          <a:r>
            <a:rPr lang="en-US" sz="1100">
              <a:solidFill>
                <a:schemeClr val="dk1"/>
              </a:solidFill>
              <a:latin typeface="Calibri"/>
              <a:ea typeface="Calibri"/>
              <a:cs typeface="Calibri"/>
              <a:sym typeface="Calibri"/>
            </a:rPr>
            <a:t>Z2 (“premium”): Annual fee $100, Dining &amp; Grocery Reward (3%), Amex network, 15% APR, Sign-up Bonus = Yes</a:t>
          </a:r>
          <a:endParaRPr sz="1100"/>
        </a:p>
        <a:p>
          <a:pPr indent="0" lvl="0" marL="0" rtl="0" algn="l">
            <a:spcBef>
              <a:spcPts val="0"/>
            </a:spcBef>
            <a:spcAft>
              <a:spcPts val="0"/>
            </a:spcAft>
            <a:buNone/>
          </a:pPr>
          <a:r>
            <a:rPr lang="en-US" sz="1100">
              <a:solidFill>
                <a:schemeClr val="dk1"/>
              </a:solidFill>
              <a:latin typeface="Calibri"/>
              <a:ea typeface="Calibri"/>
              <a:cs typeface="Calibri"/>
              <a:sym typeface="Calibri"/>
            </a:rPr>
            <a:t>Z3 (“basic”): No annual fee ($0), Travel &amp; Transportation Reward (2%), Visa network, 20% APR, Sign-up Bonus = Yes</a:t>
          </a:r>
          <a:endParaRPr sz="1100"/>
        </a:p>
        <a:p>
          <a:pPr indent="0" lvl="0" marL="0" rtl="0" algn="l">
            <a:spcBef>
              <a:spcPts val="0"/>
            </a:spcBef>
            <a:spcAft>
              <a:spcPts val="0"/>
            </a:spcAft>
            <a:buNone/>
          </a:pPr>
          <a:r>
            <a:t/>
          </a:r>
          <a:endParaRPr sz="1100"/>
        </a:p>
        <a:p>
          <a:pPr indent="0" lvl="0" marL="0" rtl="0" algn="l">
            <a:spcBef>
              <a:spcPts val="0"/>
            </a:spcBef>
            <a:spcAft>
              <a:spcPts val="0"/>
            </a:spcAft>
            <a:buNone/>
          </a:pPr>
          <a:r>
            <a:rPr lang="en-US" sz="1100">
              <a:solidFill>
                <a:schemeClr val="dk1"/>
              </a:solidFill>
              <a:latin typeface="Calibri"/>
              <a:ea typeface="Calibri"/>
              <a:cs typeface="Calibri"/>
              <a:sym typeface="Calibri"/>
            </a:rPr>
            <a:t>Part-worths from the A – all 10 sheet were used to calculate individual utilities and market shares under the maximum-utility rule. The results show that when only X and Y are available, X captures 100% of the market. After introducing Z1, Z2, and Z3, their estimated market shares are 20%, 30%, and 0%, respectively. Therefore, Z2 achieves the highest share, indicating that respondents prefer the premium card profile with a $100 fee and Dining &amp; Grocery rewards, while Y remains uncompetitive across all scenarios.</a:t>
          </a:r>
          <a:endParaRPr sz="1100"/>
        </a:p>
      </xdr:txBody>
    </xdr:sp>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Users/yim/Library/Containers/com.tencent.xinWeChat/Data/Library/Application%20Support/com.tencent.xinWeChat/2.0b4.0.9/5f4e3b22dd4e37fdd3447b5be6cbc83d/Message/MessageTemp/77c4e1557106a2f4e7262e5f25df72fc/File/Conjoint_Market_Predictor.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ictures_GroupProject2_DataAnalysisPart.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ntro--"/>
      <sheetName val="Step 1-Specifications"/>
      <sheetName val="Step 2-Partworths"/>
      <sheetName val="Step 3-Market  Prediction"/>
      <sheetName val="Choice Calculation"/>
      <sheetName val="Formats"/>
      <sheetName val="Tools"/>
      <sheetName val="Default"/>
    </sheetNames>
    <definedNames>
      <definedName name="macOptions_Change"/>
    </defined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aw Data"/>
      <sheetName val="Response"/>
      <sheetName val="Questionare"/>
      <sheetName val="Regression Matrix&amp;Data"/>
      <sheetName val="A - all 10"/>
      <sheetName val="A - pick 1"/>
      <sheetName val="B"/>
      <sheetName val="C"/>
      <sheetName val="D"/>
      <sheetName val="Market Share D"/>
      <sheetName val="Market Share E"/>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3:C28" sheet="B"/>
  </cacheSource>
  <cacheFields>
    <cacheField name="Attribute" numFmtId="0">
      <sharedItems>
        <s v="annual fee"/>
        <s v="reward type"/>
        <s v="sign-up bonus"/>
        <s v="card network"/>
        <s v="interest rate (APR)"/>
      </sharedItems>
    </cacheField>
    <cacheField name="Range " numFmtId="0">
      <sharedItems containsSemiMixedTypes="0" containsString="0" containsNumber="1">
        <n v="0.374640805"/>
        <n v="1.16558908"/>
        <n v="0.905172414"/>
        <n v="1.3340517250000001"/>
        <n v="0.91558908"/>
      </sharedItems>
    </cacheField>
    <cacheField name="Importance" numFmtId="0">
      <sharedItems containsSemiMixedTypes="0" containsString="0" containsNumber="1">
        <n v="0.07979496603147694"/>
        <n v="0.24825950564904548"/>
        <n v="0.19279320635604544"/>
        <n v="0.28414046377198077"/>
        <n v="0.19501185819145145"/>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K26:P29" sheet="C"/>
  </cacheSource>
  <cacheFields>
    <cacheField name="Price" numFmtId="165">
      <sharedItems containsSemiMixedTypes="0" containsString="0" containsNumber="1" containsInteger="1">
        <n v="0.0"/>
        <n v="50.0"/>
        <n v="100.0"/>
      </sharedItems>
    </cacheField>
    <cacheField name="Respondent 5" numFmtId="0">
      <sharedItems containsSemiMixedTypes="0" containsString="0" containsNumber="1">
        <n v="0.0"/>
        <n v="-0.6139"/>
        <n v="-2.0083"/>
      </sharedItems>
    </cacheField>
    <cacheField name="Respondent 6" numFmtId="0">
      <sharedItems containsSemiMixedTypes="0" containsString="0" containsNumber="1">
        <n v="0.0"/>
        <n v="-0.2152"/>
        <n v="-0.8121"/>
      </sharedItems>
    </cacheField>
    <cacheField name="Respondent 7" numFmtId="0">
      <sharedItems containsSemiMixedTypes="0" containsString="0" containsNumber="1">
        <n v="0.0"/>
        <n v="0.3746"/>
        <n v="0.2906"/>
      </sharedItems>
    </cacheField>
    <cacheField name="Respondent 8" numFmtId="0">
      <sharedItems containsSemiMixedTypes="0" containsString="0" containsNumber="1">
        <n v="0.0"/>
        <n v="-0.2302"/>
        <n v="-0.8574"/>
      </sharedItems>
    </cacheField>
    <cacheField name="Respondent 9" numFmtId="0">
      <sharedItems containsSemiMixedTypes="0" containsString="0" containsNumber="1">
        <n v="0.0"/>
        <n v="-1.4723"/>
        <n v="-2.2504"/>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B" cacheId="0" dataCaption="" compact="0" compactData="0">
  <location ref="A31:B37" firstHeaderRow="0" firstDataRow="1" firstDataCol="0"/>
  <pivotFields>
    <pivotField name="Attribute" axis="axisRow" compact="0" outline="0" multipleItemSelectionAllowed="1" showAll="0" sortType="ascending">
      <items>
        <item x="0"/>
        <item x="3"/>
        <item x="4"/>
        <item x="1"/>
        <item x="2"/>
        <item t="default"/>
      </items>
    </pivotField>
    <pivotField name="Range " compact="0" outline="0" multipleItemSelectionAllowed="1" showAll="0">
      <items>
        <item x="0"/>
        <item x="1"/>
        <item x="2"/>
        <item x="3"/>
        <item x="4"/>
        <item t="default"/>
      </items>
    </pivotField>
    <pivotField name="Importance" dataField="1" compact="0" outline="0" multipleItemSelectionAllowed="1" showAll="0">
      <items>
        <item x="0"/>
        <item x="1"/>
        <item x="2"/>
        <item x="3"/>
        <item x="4"/>
        <item t="default"/>
      </items>
    </pivotField>
  </pivotFields>
  <rowFields>
    <field x="0"/>
  </rowFields>
  <dataFields>
    <dataField name="Sum of Importance" fld="2" baseField="0"/>
  </dataFields>
</pivotTableDefinition>
</file>

<file path=xl/pivotTables/pivotTable2.xml><?xml version="1.0" encoding="utf-8"?>
<pivotTableDefinition xmlns="http://schemas.openxmlformats.org/spreadsheetml/2006/main" name="C" cacheId="1" dataCaption="" compact="0" compactData="0">
  <location ref="K32:P36" firstHeaderRow="0" firstDataRow="2" firstDataCol="0"/>
  <pivotFields>
    <pivotField name="Price" axis="axisRow" compact="0" numFmtId="165" outline="0" multipleItemSelectionAllowed="1" showAll="0" sortType="ascending">
      <items>
        <item x="0"/>
        <item x="1"/>
        <item x="2"/>
        <item t="default"/>
      </items>
    </pivotField>
    <pivotField name="Respondent 5" dataField="1" compact="0" outline="0" multipleItemSelectionAllowed="1" showAll="0">
      <items>
        <item x="0"/>
        <item x="1"/>
        <item x="2"/>
        <item t="default"/>
      </items>
    </pivotField>
    <pivotField name="Respondent 6" dataField="1" compact="0" outline="0" multipleItemSelectionAllowed="1" showAll="0">
      <items>
        <item x="0"/>
        <item x="1"/>
        <item x="2"/>
        <item t="default"/>
      </items>
    </pivotField>
    <pivotField name="Respondent 7" dataField="1" compact="0" outline="0" multipleItemSelectionAllowed="1" showAll="0">
      <items>
        <item x="0"/>
        <item x="1"/>
        <item x="2"/>
        <item t="default"/>
      </items>
    </pivotField>
    <pivotField name="Respondent 8" dataField="1" compact="0" outline="0" multipleItemSelectionAllowed="1" showAll="0">
      <items>
        <item x="0"/>
        <item x="1"/>
        <item x="2"/>
        <item t="default"/>
      </items>
    </pivotField>
    <pivotField name="Respondent 9" dataField="1" compact="0" outline="0" multipleItemSelectionAllowed="1" showAll="0">
      <items>
        <item x="0"/>
        <item x="1"/>
        <item x="2"/>
        <item t="default"/>
      </items>
    </pivotField>
  </pivotFields>
  <rowFields>
    <field x="0"/>
  </rowFields>
  <colFields>
    <field x="-2"/>
  </colFields>
  <dataFields>
    <dataField name="Respondent_5" fld="1" baseField="0"/>
    <dataField name="Respondent_6" fld="2" baseField="0"/>
    <dataField name="Respondent_7" fld="3" baseField="0"/>
    <dataField name="Respondent_8" fld="4" baseField="0"/>
    <dataField name="Respondent_9" fld="5"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13"/>
    <col customWidth="1" min="2" max="26" width="11.0"/>
  </cols>
  <sheetData>
    <row r="1">
      <c r="A1" s="1" t="s">
        <v>0</v>
      </c>
      <c r="B1" s="1" t="s">
        <v>1</v>
      </c>
      <c r="C1" s="2" t="s">
        <v>2</v>
      </c>
      <c r="D1" s="2" t="s">
        <v>2</v>
      </c>
      <c r="E1" s="2" t="s">
        <v>2</v>
      </c>
      <c r="F1" s="2" t="s">
        <v>2</v>
      </c>
      <c r="G1" s="2" t="s">
        <v>2</v>
      </c>
      <c r="H1" s="2" t="s">
        <v>3</v>
      </c>
      <c r="I1" s="2" t="s">
        <v>4</v>
      </c>
      <c r="J1" s="2" t="s">
        <v>5</v>
      </c>
      <c r="K1" s="2" t="s">
        <v>6</v>
      </c>
      <c r="L1" s="2" t="s">
        <v>7</v>
      </c>
      <c r="M1" s="2" t="s">
        <v>8</v>
      </c>
      <c r="N1" s="2" t="s">
        <v>9</v>
      </c>
      <c r="O1" s="2" t="s">
        <v>10</v>
      </c>
      <c r="P1" s="2" t="s">
        <v>11</v>
      </c>
      <c r="Q1" s="2" t="s">
        <v>12</v>
      </c>
      <c r="R1" s="2" t="s">
        <v>13</v>
      </c>
      <c r="S1" s="2" t="s">
        <v>14</v>
      </c>
      <c r="T1" s="2" t="s">
        <v>15</v>
      </c>
      <c r="U1" s="2" t="s">
        <v>16</v>
      </c>
      <c r="V1" s="2" t="s">
        <v>17</v>
      </c>
    </row>
    <row r="2">
      <c r="C2" s="3" t="s">
        <v>18</v>
      </c>
      <c r="D2" s="3" t="s">
        <v>19</v>
      </c>
      <c r="E2" s="3" t="s">
        <v>20</v>
      </c>
      <c r="F2" s="3" t="s">
        <v>21</v>
      </c>
      <c r="G2" s="3" t="s">
        <v>22</v>
      </c>
      <c r="H2" s="2" t="s">
        <v>23</v>
      </c>
      <c r="I2" s="2" t="s">
        <v>24</v>
      </c>
      <c r="J2" s="2" t="s">
        <v>25</v>
      </c>
      <c r="K2" s="2" t="s">
        <v>26</v>
      </c>
      <c r="L2" s="2" t="s">
        <v>27</v>
      </c>
      <c r="M2" s="2" t="s">
        <v>28</v>
      </c>
      <c r="N2" s="2" t="s">
        <v>29</v>
      </c>
      <c r="O2" s="2" t="s">
        <v>30</v>
      </c>
      <c r="P2" s="2" t="s">
        <v>31</v>
      </c>
      <c r="Q2" s="2" t="s">
        <v>32</v>
      </c>
      <c r="R2" s="2" t="s">
        <v>33</v>
      </c>
      <c r="S2" s="2" t="s">
        <v>34</v>
      </c>
      <c r="T2" s="2" t="s">
        <v>35</v>
      </c>
      <c r="U2" s="2" t="s">
        <v>36</v>
      </c>
      <c r="V2" s="2" t="s">
        <v>37</v>
      </c>
    </row>
    <row r="3">
      <c r="C3" s="3"/>
      <c r="D3" s="3"/>
      <c r="E3" s="3"/>
      <c r="F3" s="3"/>
      <c r="G3" s="3"/>
      <c r="H3" s="2" t="s">
        <v>38</v>
      </c>
      <c r="I3" s="2" t="s">
        <v>39</v>
      </c>
      <c r="J3" s="2" t="s">
        <v>40</v>
      </c>
      <c r="K3" s="2" t="s">
        <v>41</v>
      </c>
      <c r="L3" s="2" t="s">
        <v>42</v>
      </c>
      <c r="M3" s="2" t="s">
        <v>43</v>
      </c>
      <c r="N3" s="2" t="s">
        <v>44</v>
      </c>
      <c r="O3" s="2" t="s">
        <v>45</v>
      </c>
      <c r="P3" s="2" t="s">
        <v>46</v>
      </c>
      <c r="Q3" s="2" t="s">
        <v>47</v>
      </c>
      <c r="R3" s="2" t="s">
        <v>48</v>
      </c>
      <c r="S3" s="2" t="s">
        <v>49</v>
      </c>
      <c r="T3" s="2" t="s">
        <v>50</v>
      </c>
      <c r="U3" s="2" t="s">
        <v>51</v>
      </c>
      <c r="V3" s="2" t="s">
        <v>52</v>
      </c>
    </row>
    <row r="4">
      <c r="C4" s="3"/>
      <c r="D4" s="3"/>
      <c r="E4" s="3"/>
      <c r="F4" s="3"/>
      <c r="G4" s="3"/>
      <c r="H4" s="2" t="s">
        <v>53</v>
      </c>
      <c r="I4" s="2" t="s">
        <v>54</v>
      </c>
      <c r="J4" s="2" t="s">
        <v>55</v>
      </c>
      <c r="K4" s="2" t="s">
        <v>56</v>
      </c>
      <c r="L4" s="2" t="s">
        <v>57</v>
      </c>
      <c r="M4" s="2" t="s">
        <v>58</v>
      </c>
      <c r="N4" s="2" t="s">
        <v>59</v>
      </c>
      <c r="O4" s="2" t="s">
        <v>60</v>
      </c>
      <c r="P4" s="2" t="s">
        <v>61</v>
      </c>
      <c r="Q4" s="2" t="s">
        <v>62</v>
      </c>
      <c r="R4" s="2" t="s">
        <v>63</v>
      </c>
      <c r="S4" s="2" t="s">
        <v>64</v>
      </c>
      <c r="T4" s="2" t="s">
        <v>65</v>
      </c>
      <c r="U4" s="2" t="s">
        <v>66</v>
      </c>
      <c r="V4" s="2" t="s">
        <v>67</v>
      </c>
    </row>
    <row r="5">
      <c r="C5" s="3"/>
      <c r="D5" s="3"/>
      <c r="E5" s="3"/>
      <c r="F5" s="3"/>
      <c r="G5" s="3"/>
      <c r="H5" s="2" t="s">
        <v>68</v>
      </c>
      <c r="I5" s="2" t="s">
        <v>69</v>
      </c>
      <c r="J5" s="2" t="s">
        <v>70</v>
      </c>
      <c r="K5" s="2" t="s">
        <v>71</v>
      </c>
      <c r="L5" s="2" t="s">
        <v>72</v>
      </c>
      <c r="M5" s="2" t="s">
        <v>73</v>
      </c>
      <c r="N5" s="2" t="s">
        <v>74</v>
      </c>
      <c r="O5" s="2" t="s">
        <v>75</v>
      </c>
      <c r="P5" s="2" t="s">
        <v>76</v>
      </c>
      <c r="Q5" s="2" t="s">
        <v>77</v>
      </c>
      <c r="R5" s="2" t="s">
        <v>78</v>
      </c>
      <c r="S5" s="2" t="s">
        <v>79</v>
      </c>
      <c r="T5" s="2" t="s">
        <v>80</v>
      </c>
      <c r="U5" s="2" t="s">
        <v>81</v>
      </c>
      <c r="V5" s="2" t="s">
        <v>82</v>
      </c>
    </row>
    <row r="6">
      <c r="C6" s="3"/>
      <c r="D6" s="3"/>
      <c r="E6" s="3"/>
      <c r="F6" s="3"/>
      <c r="G6" s="3"/>
      <c r="H6" s="2" t="s">
        <v>83</v>
      </c>
      <c r="I6" s="2" t="s">
        <v>84</v>
      </c>
      <c r="J6" s="2" t="s">
        <v>85</v>
      </c>
      <c r="K6" s="2" t="s">
        <v>86</v>
      </c>
      <c r="L6" s="2" t="s">
        <v>87</v>
      </c>
      <c r="M6" s="2" t="s">
        <v>88</v>
      </c>
      <c r="N6" s="2" t="s">
        <v>89</v>
      </c>
      <c r="O6" s="2" t="s">
        <v>90</v>
      </c>
      <c r="P6" s="2" t="s">
        <v>91</v>
      </c>
      <c r="Q6" s="2" t="s">
        <v>92</v>
      </c>
      <c r="R6" s="2" t="s">
        <v>93</v>
      </c>
      <c r="S6" s="2" t="s">
        <v>94</v>
      </c>
      <c r="T6" s="2" t="s">
        <v>95</v>
      </c>
      <c r="U6" s="2" t="s">
        <v>96</v>
      </c>
      <c r="V6" s="2" t="s">
        <v>97</v>
      </c>
    </row>
    <row r="7">
      <c r="A7" s="4">
        <v>45966.9757638889</v>
      </c>
      <c r="B7" s="5" t="s">
        <v>98</v>
      </c>
      <c r="C7" s="6">
        <v>3.0</v>
      </c>
      <c r="D7" s="6">
        <v>4.0</v>
      </c>
      <c r="E7" s="6">
        <v>5.0</v>
      </c>
      <c r="F7" s="6">
        <v>2.0</v>
      </c>
      <c r="G7" s="6">
        <v>1.0</v>
      </c>
      <c r="H7" s="7">
        <v>2.0</v>
      </c>
      <c r="I7" s="7">
        <v>3.0</v>
      </c>
      <c r="J7" s="7">
        <v>7.0</v>
      </c>
      <c r="K7" s="7">
        <v>1.0</v>
      </c>
      <c r="L7" s="7">
        <v>5.0</v>
      </c>
      <c r="M7" s="7">
        <v>4.0</v>
      </c>
      <c r="N7" s="7">
        <v>3.0</v>
      </c>
      <c r="O7" s="7">
        <v>3.0</v>
      </c>
      <c r="P7" s="7">
        <v>2.0</v>
      </c>
      <c r="Q7" s="7">
        <v>3.0</v>
      </c>
      <c r="R7" s="7">
        <v>7.0</v>
      </c>
      <c r="S7" s="7">
        <v>5.0</v>
      </c>
      <c r="T7" s="7">
        <v>4.0</v>
      </c>
      <c r="U7" s="7">
        <v>3.0</v>
      </c>
      <c r="V7" s="7">
        <v>4.0</v>
      </c>
    </row>
    <row r="8">
      <c r="A8" s="4">
        <v>45966.9761342593</v>
      </c>
      <c r="B8" s="5" t="s">
        <v>99</v>
      </c>
      <c r="C8" s="6">
        <v>5.0</v>
      </c>
      <c r="D8" s="6">
        <v>5.0</v>
      </c>
      <c r="E8" s="6">
        <v>4.0</v>
      </c>
      <c r="F8" s="6">
        <v>6.0</v>
      </c>
      <c r="G8" s="6">
        <v>3.0</v>
      </c>
      <c r="H8" s="7">
        <v>2.0</v>
      </c>
      <c r="I8" s="7">
        <v>3.0</v>
      </c>
      <c r="J8" s="7">
        <v>4.0</v>
      </c>
      <c r="K8" s="7">
        <v>3.0</v>
      </c>
      <c r="L8" s="7">
        <v>4.0</v>
      </c>
      <c r="M8" s="7">
        <v>4.0</v>
      </c>
      <c r="N8" s="7">
        <v>4.0</v>
      </c>
      <c r="O8" s="7">
        <v>3.0</v>
      </c>
      <c r="P8" s="7">
        <v>3.0</v>
      </c>
      <c r="Q8" s="7">
        <v>4.0</v>
      </c>
      <c r="R8" s="7">
        <v>4.0</v>
      </c>
      <c r="S8" s="7">
        <v>2.0</v>
      </c>
      <c r="T8" s="7">
        <v>3.0</v>
      </c>
      <c r="U8" s="7">
        <v>3.0</v>
      </c>
      <c r="V8" s="7">
        <v>1.0</v>
      </c>
    </row>
    <row r="9">
      <c r="A9" s="4">
        <v>45966.9788773148</v>
      </c>
      <c r="B9" s="5" t="s">
        <v>100</v>
      </c>
      <c r="C9" s="6">
        <v>6.0</v>
      </c>
      <c r="D9" s="6">
        <v>6.0</v>
      </c>
      <c r="E9" s="6">
        <v>7.0</v>
      </c>
      <c r="F9" s="6">
        <v>4.0</v>
      </c>
      <c r="G9" s="6">
        <v>7.0</v>
      </c>
      <c r="H9" s="7">
        <v>4.0</v>
      </c>
      <c r="I9" s="7">
        <v>3.0</v>
      </c>
      <c r="J9" s="7">
        <v>6.0</v>
      </c>
      <c r="K9" s="7">
        <v>2.0</v>
      </c>
      <c r="L9" s="7">
        <v>4.0</v>
      </c>
      <c r="M9" s="7">
        <v>3.0</v>
      </c>
      <c r="N9" s="7">
        <v>5.0</v>
      </c>
      <c r="O9" s="7">
        <v>3.0</v>
      </c>
      <c r="P9" s="7">
        <v>6.0</v>
      </c>
      <c r="Q9" s="7">
        <v>3.0</v>
      </c>
      <c r="R9" s="7">
        <v>4.0</v>
      </c>
      <c r="S9" s="7">
        <v>5.0</v>
      </c>
      <c r="T9" s="7">
        <v>6.0</v>
      </c>
      <c r="U9" s="7">
        <v>3.0</v>
      </c>
      <c r="V9" s="7">
        <v>2.0</v>
      </c>
    </row>
    <row r="10">
      <c r="A10" s="4">
        <v>45966.9821064815</v>
      </c>
      <c r="B10" s="5" t="s">
        <v>101</v>
      </c>
      <c r="C10" s="6">
        <v>7.0</v>
      </c>
      <c r="D10" s="6">
        <v>5.0</v>
      </c>
      <c r="E10" s="6">
        <v>3.0</v>
      </c>
      <c r="F10" s="6">
        <v>1.0</v>
      </c>
      <c r="G10" s="6">
        <v>7.0</v>
      </c>
      <c r="H10" s="7">
        <v>1.0</v>
      </c>
      <c r="I10" s="7">
        <v>4.0</v>
      </c>
      <c r="J10" s="7">
        <v>3.0</v>
      </c>
      <c r="K10" s="7">
        <v>1.0</v>
      </c>
      <c r="L10" s="7">
        <v>7.0</v>
      </c>
      <c r="M10" s="7">
        <v>3.0</v>
      </c>
      <c r="N10" s="7">
        <v>5.0</v>
      </c>
      <c r="O10" s="7">
        <v>3.0</v>
      </c>
      <c r="P10" s="7">
        <v>1.0</v>
      </c>
      <c r="Q10" s="7">
        <v>5.0</v>
      </c>
      <c r="R10" s="7">
        <v>5.0</v>
      </c>
      <c r="S10" s="7">
        <v>3.0</v>
      </c>
      <c r="T10" s="7">
        <v>1.0</v>
      </c>
      <c r="U10" s="7">
        <v>7.0</v>
      </c>
      <c r="V10" s="7">
        <v>3.0</v>
      </c>
    </row>
    <row r="11">
      <c r="A11" s="4">
        <v>45967.6503819444</v>
      </c>
      <c r="B11" s="5" t="s">
        <v>102</v>
      </c>
      <c r="C11" s="6">
        <v>4.0</v>
      </c>
      <c r="D11" s="6">
        <v>7.0</v>
      </c>
      <c r="E11" s="6">
        <v>7.0</v>
      </c>
      <c r="F11" s="6">
        <v>7.0</v>
      </c>
      <c r="G11" s="6">
        <v>4.0</v>
      </c>
      <c r="H11" s="7">
        <v>4.0</v>
      </c>
      <c r="I11" s="7">
        <v>5.0</v>
      </c>
      <c r="J11" s="7">
        <v>6.0</v>
      </c>
      <c r="K11" s="7">
        <v>5.0</v>
      </c>
      <c r="L11" s="7">
        <v>6.0</v>
      </c>
      <c r="M11" s="7">
        <v>3.0</v>
      </c>
      <c r="N11" s="7">
        <v>3.0</v>
      </c>
      <c r="O11" s="7">
        <v>5.0</v>
      </c>
      <c r="P11" s="7">
        <v>4.0</v>
      </c>
      <c r="Q11" s="7">
        <v>5.0</v>
      </c>
      <c r="R11" s="7">
        <v>6.0</v>
      </c>
      <c r="S11" s="7">
        <v>5.0</v>
      </c>
      <c r="T11" s="7">
        <v>6.0</v>
      </c>
      <c r="U11" s="7">
        <v>6.0</v>
      </c>
      <c r="V11" s="7">
        <v>5.0</v>
      </c>
    </row>
    <row r="12">
      <c r="A12" s="4">
        <v>45967.6605902778</v>
      </c>
      <c r="B12" s="5" t="s">
        <v>103</v>
      </c>
      <c r="C12" s="6">
        <v>6.0</v>
      </c>
      <c r="D12" s="6">
        <v>6.0</v>
      </c>
      <c r="E12" s="6">
        <v>7.0</v>
      </c>
      <c r="F12" s="6">
        <v>4.0</v>
      </c>
      <c r="G12" s="6">
        <v>7.0</v>
      </c>
      <c r="H12" s="7">
        <v>4.0</v>
      </c>
      <c r="I12" s="7">
        <v>6.0</v>
      </c>
      <c r="J12" s="7">
        <v>6.0</v>
      </c>
      <c r="K12" s="7">
        <v>5.0</v>
      </c>
      <c r="L12" s="7">
        <v>5.0</v>
      </c>
      <c r="M12" s="7">
        <v>4.0</v>
      </c>
      <c r="N12" s="7">
        <v>6.0</v>
      </c>
      <c r="O12" s="7">
        <v>4.0</v>
      </c>
      <c r="P12" s="7">
        <v>6.0</v>
      </c>
      <c r="Q12" s="7">
        <v>5.0</v>
      </c>
      <c r="R12" s="7">
        <v>6.0</v>
      </c>
      <c r="S12" s="7">
        <v>6.0</v>
      </c>
      <c r="T12" s="7">
        <v>6.0</v>
      </c>
      <c r="U12" s="7">
        <v>5.0</v>
      </c>
      <c r="V12" s="7">
        <v>6.0</v>
      </c>
    </row>
    <row r="13">
      <c r="A13" s="4">
        <v>45967.6606597222</v>
      </c>
      <c r="B13" s="5" t="s">
        <v>104</v>
      </c>
      <c r="C13" s="6">
        <v>7.0</v>
      </c>
      <c r="D13" s="6">
        <v>6.0</v>
      </c>
      <c r="E13" s="6">
        <v>7.0</v>
      </c>
      <c r="F13" s="6">
        <v>6.0</v>
      </c>
      <c r="G13" s="6">
        <v>5.0</v>
      </c>
      <c r="H13" s="7">
        <v>4.0</v>
      </c>
      <c r="I13" s="7">
        <v>7.0</v>
      </c>
      <c r="J13" s="7">
        <v>2.0</v>
      </c>
      <c r="K13" s="7">
        <v>4.0</v>
      </c>
      <c r="L13" s="7">
        <v>6.0</v>
      </c>
      <c r="M13" s="7">
        <v>3.0</v>
      </c>
      <c r="N13" s="7">
        <v>3.0</v>
      </c>
      <c r="O13" s="7">
        <v>2.0</v>
      </c>
      <c r="P13" s="7">
        <v>5.0</v>
      </c>
      <c r="Q13" s="7">
        <v>2.0</v>
      </c>
      <c r="R13" s="7">
        <v>5.0</v>
      </c>
      <c r="S13" s="7">
        <v>3.0</v>
      </c>
      <c r="T13" s="8"/>
      <c r="U13" s="7">
        <v>6.0</v>
      </c>
      <c r="V13" s="7">
        <v>4.0</v>
      </c>
    </row>
    <row r="14">
      <c r="A14" s="4">
        <v>45967.6613773148</v>
      </c>
      <c r="B14" s="5" t="s">
        <v>105</v>
      </c>
      <c r="C14" s="6">
        <v>7.0</v>
      </c>
      <c r="D14" s="6">
        <v>3.0</v>
      </c>
      <c r="E14" s="6">
        <v>3.0</v>
      </c>
      <c r="F14" s="6">
        <v>7.0</v>
      </c>
      <c r="G14" s="6">
        <v>7.0</v>
      </c>
      <c r="H14" s="7">
        <v>4.0</v>
      </c>
      <c r="I14" s="7">
        <v>6.0</v>
      </c>
      <c r="J14" s="7">
        <v>7.0</v>
      </c>
      <c r="K14" s="7">
        <v>6.0</v>
      </c>
      <c r="L14" s="7">
        <v>4.0</v>
      </c>
      <c r="M14" s="7">
        <v>5.0</v>
      </c>
      <c r="N14" s="7">
        <v>7.0</v>
      </c>
      <c r="O14" s="7">
        <v>5.0</v>
      </c>
      <c r="P14" s="7">
        <v>4.0</v>
      </c>
      <c r="Q14" s="7">
        <v>5.0</v>
      </c>
      <c r="R14" s="7">
        <v>5.0</v>
      </c>
      <c r="S14" s="7">
        <v>4.0</v>
      </c>
      <c r="T14" s="7">
        <v>5.0</v>
      </c>
      <c r="U14" s="7">
        <v>5.0</v>
      </c>
      <c r="V14" s="7">
        <v>3.0</v>
      </c>
    </row>
    <row r="15">
      <c r="A15" s="4">
        <v>45967.6808101852</v>
      </c>
      <c r="B15" s="5" t="s">
        <v>106</v>
      </c>
      <c r="C15" s="6">
        <v>5.0</v>
      </c>
      <c r="D15" s="6">
        <v>3.0</v>
      </c>
      <c r="E15" s="6">
        <v>4.0</v>
      </c>
      <c r="F15" s="6">
        <v>3.0</v>
      </c>
      <c r="G15" s="6">
        <v>5.0</v>
      </c>
      <c r="H15" s="7">
        <v>2.0</v>
      </c>
      <c r="I15" s="7">
        <v>4.0</v>
      </c>
      <c r="J15" s="7">
        <v>4.0</v>
      </c>
      <c r="K15" s="7">
        <v>3.0</v>
      </c>
      <c r="L15" s="7">
        <v>5.0</v>
      </c>
      <c r="M15" s="7">
        <v>4.0</v>
      </c>
      <c r="N15" s="7">
        <v>5.0</v>
      </c>
      <c r="O15" s="7">
        <v>4.0</v>
      </c>
      <c r="P15" s="7">
        <v>3.0</v>
      </c>
      <c r="Q15" s="7">
        <v>5.0</v>
      </c>
      <c r="R15" s="7">
        <v>5.0</v>
      </c>
      <c r="S15" s="7">
        <v>5.0</v>
      </c>
      <c r="T15" s="7">
        <v>3.0</v>
      </c>
      <c r="U15" s="7">
        <v>5.0</v>
      </c>
      <c r="V15" s="7">
        <v>4.0</v>
      </c>
    </row>
    <row r="16">
      <c r="A16" s="4">
        <v>45967.7118171296</v>
      </c>
      <c r="B16" s="5" t="s">
        <v>107</v>
      </c>
      <c r="C16" s="6">
        <v>7.0</v>
      </c>
      <c r="D16" s="6">
        <v>6.0</v>
      </c>
      <c r="E16" s="6">
        <v>6.0</v>
      </c>
      <c r="F16" s="6">
        <v>4.0</v>
      </c>
      <c r="G16" s="6">
        <v>1.0</v>
      </c>
      <c r="H16" s="7">
        <v>3.0</v>
      </c>
      <c r="I16" s="7">
        <v>5.0</v>
      </c>
      <c r="J16" s="7">
        <v>6.0</v>
      </c>
      <c r="K16" s="7">
        <v>4.0</v>
      </c>
      <c r="L16" s="7">
        <v>7.0</v>
      </c>
      <c r="M16" s="7">
        <v>3.0</v>
      </c>
      <c r="N16" s="7">
        <v>5.0</v>
      </c>
      <c r="O16" s="7">
        <v>3.0</v>
      </c>
      <c r="P16" s="7">
        <v>4.0</v>
      </c>
      <c r="Q16" s="7">
        <v>4.0</v>
      </c>
      <c r="R16" s="7">
        <v>5.0</v>
      </c>
      <c r="S16" s="7">
        <v>5.0</v>
      </c>
      <c r="T16" s="7">
        <v>4.0</v>
      </c>
      <c r="U16" s="7">
        <v>6.0</v>
      </c>
      <c r="V16" s="7">
        <v>6.0</v>
      </c>
    </row>
    <row r="17">
      <c r="A17" s="4">
        <v>45967.8374074074</v>
      </c>
      <c r="B17" s="5" t="s">
        <v>108</v>
      </c>
      <c r="C17" s="6">
        <v>1.0</v>
      </c>
      <c r="D17" s="6">
        <v>4.0</v>
      </c>
      <c r="E17" s="6">
        <v>4.0</v>
      </c>
      <c r="F17" s="6">
        <v>3.0</v>
      </c>
      <c r="G17" s="6">
        <v>4.0</v>
      </c>
      <c r="H17" s="7">
        <v>1.0</v>
      </c>
      <c r="I17" s="7">
        <v>5.0</v>
      </c>
      <c r="J17" s="7">
        <v>7.0</v>
      </c>
      <c r="K17" s="7">
        <v>2.0</v>
      </c>
      <c r="L17" s="7">
        <v>7.0</v>
      </c>
      <c r="M17" s="7">
        <v>1.0</v>
      </c>
      <c r="N17" s="7">
        <v>2.0</v>
      </c>
      <c r="O17" s="7">
        <v>2.0</v>
      </c>
      <c r="P17" s="7">
        <v>4.0</v>
      </c>
      <c r="Q17" s="7">
        <v>3.0</v>
      </c>
      <c r="R17" s="7">
        <v>3.0</v>
      </c>
      <c r="S17" s="7">
        <v>3.0</v>
      </c>
      <c r="T17" s="7">
        <v>3.0</v>
      </c>
      <c r="U17" s="7">
        <v>4.0</v>
      </c>
      <c r="V17" s="7">
        <v>5.0</v>
      </c>
    </row>
    <row r="18">
      <c r="A18" s="4">
        <v>45967.8609027778</v>
      </c>
      <c r="B18" s="5" t="s">
        <v>109</v>
      </c>
      <c r="C18" s="6">
        <v>4.0</v>
      </c>
      <c r="D18" s="6">
        <v>5.0</v>
      </c>
      <c r="E18" s="6">
        <v>4.0</v>
      </c>
      <c r="F18" s="6">
        <v>5.0</v>
      </c>
      <c r="G18" s="6">
        <v>3.0</v>
      </c>
      <c r="H18" s="7">
        <v>5.0</v>
      </c>
      <c r="I18" s="7">
        <v>4.0</v>
      </c>
      <c r="J18" s="7">
        <v>4.0</v>
      </c>
      <c r="K18" s="7">
        <v>3.0</v>
      </c>
      <c r="L18" s="7">
        <v>5.0</v>
      </c>
      <c r="M18" s="7">
        <v>4.0</v>
      </c>
      <c r="N18" s="7">
        <v>4.0</v>
      </c>
      <c r="O18" s="7">
        <v>4.0</v>
      </c>
      <c r="P18" s="7">
        <v>3.0</v>
      </c>
      <c r="Q18" s="7">
        <v>6.0</v>
      </c>
      <c r="R18" s="7">
        <v>5.0</v>
      </c>
      <c r="S18" s="7">
        <v>4.0</v>
      </c>
      <c r="T18" s="7">
        <v>3.0</v>
      </c>
      <c r="U18" s="7">
        <v>5.0</v>
      </c>
      <c r="V18" s="7">
        <v>3.0</v>
      </c>
    </row>
    <row r="19">
      <c r="A19" s="4">
        <v>45968.6210648148</v>
      </c>
      <c r="B19" s="5" t="s">
        <v>110</v>
      </c>
      <c r="C19" s="6">
        <v>7.0</v>
      </c>
      <c r="D19" s="6">
        <v>6.0</v>
      </c>
      <c r="E19" s="6">
        <v>5.0</v>
      </c>
      <c r="F19" s="6">
        <v>5.0</v>
      </c>
      <c r="G19" s="6">
        <v>5.0</v>
      </c>
      <c r="H19" s="7">
        <v>1.0</v>
      </c>
      <c r="I19" s="7">
        <v>4.0</v>
      </c>
      <c r="J19" s="7">
        <v>5.0</v>
      </c>
      <c r="K19" s="7">
        <v>3.0</v>
      </c>
      <c r="L19" s="7">
        <v>6.0</v>
      </c>
      <c r="M19" s="7">
        <v>3.0</v>
      </c>
      <c r="N19" s="7">
        <v>3.0</v>
      </c>
      <c r="O19" s="7">
        <v>5.0</v>
      </c>
      <c r="P19" s="7">
        <v>3.0</v>
      </c>
      <c r="Q19" s="7">
        <v>4.0</v>
      </c>
      <c r="R19" s="7">
        <v>6.0</v>
      </c>
      <c r="S19" s="7">
        <v>3.0</v>
      </c>
      <c r="T19" s="7">
        <v>2.0</v>
      </c>
      <c r="U19" s="7">
        <v>5.0</v>
      </c>
      <c r="V19" s="7">
        <v>4.0</v>
      </c>
    </row>
    <row r="20">
      <c r="A20" s="4">
        <v>45968.810625</v>
      </c>
      <c r="B20" s="5" t="s">
        <v>111</v>
      </c>
      <c r="C20" s="6">
        <v>7.0</v>
      </c>
      <c r="D20" s="6">
        <v>7.0</v>
      </c>
      <c r="E20" s="6">
        <v>2.0</v>
      </c>
      <c r="F20" s="6">
        <v>1.0</v>
      </c>
      <c r="G20" s="6">
        <v>7.0</v>
      </c>
      <c r="H20" s="7">
        <v>3.0</v>
      </c>
      <c r="I20" s="7">
        <v>4.0</v>
      </c>
      <c r="J20" s="7">
        <v>7.0</v>
      </c>
      <c r="K20" s="7">
        <v>3.0</v>
      </c>
      <c r="L20" s="7">
        <v>6.0</v>
      </c>
      <c r="M20" s="7">
        <v>3.0</v>
      </c>
      <c r="N20" s="7">
        <v>3.0</v>
      </c>
      <c r="O20" s="7">
        <v>2.0</v>
      </c>
      <c r="P20" s="7">
        <v>3.0</v>
      </c>
      <c r="Q20" s="7">
        <v>4.0</v>
      </c>
      <c r="R20" s="7">
        <v>5.0</v>
      </c>
      <c r="S20" s="7">
        <v>4.0</v>
      </c>
      <c r="T20" s="7">
        <v>6.0</v>
      </c>
      <c r="U20" s="7">
        <v>5.0</v>
      </c>
      <c r="V20" s="7">
        <v>7.0</v>
      </c>
    </row>
    <row r="26">
      <c r="C26" s="9" t="s">
        <v>112</v>
      </c>
      <c r="D26" s="10"/>
      <c r="E26" s="10"/>
      <c r="F26" s="10"/>
      <c r="L26" s="11" t="s">
        <v>113</v>
      </c>
      <c r="M26" s="8"/>
      <c r="N26" s="8"/>
      <c r="O26" s="8"/>
      <c r="P26" s="8"/>
    </row>
  </sheetData>
  <mergeCells count="2">
    <mergeCell ref="A1:A6"/>
    <mergeCell ref="B1:B6"/>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1.0"/>
  </cols>
  <sheetData>
    <row r="1">
      <c r="A1" s="12" t="s">
        <v>114</v>
      </c>
    </row>
    <row r="2"/>
    <row r="3">
      <c r="A3" s="5" t="s">
        <v>115</v>
      </c>
      <c r="B3" s="5" t="s">
        <v>116</v>
      </c>
      <c r="C3" s="5" t="s">
        <v>117</v>
      </c>
      <c r="D3" s="5" t="s">
        <v>118</v>
      </c>
      <c r="E3" s="5" t="s">
        <v>119</v>
      </c>
      <c r="F3" s="5" t="s">
        <v>120</v>
      </c>
      <c r="G3" s="5" t="s">
        <v>121</v>
      </c>
      <c r="H3" s="5" t="s">
        <v>122</v>
      </c>
      <c r="I3" s="5" t="s">
        <v>123</v>
      </c>
      <c r="J3" s="5" t="s">
        <v>124</v>
      </c>
      <c r="K3" s="5" t="s">
        <v>125</v>
      </c>
      <c r="L3" s="5" t="s">
        <v>126</v>
      </c>
      <c r="M3" s="5" t="s">
        <v>127</v>
      </c>
      <c r="N3" s="5" t="s">
        <v>128</v>
      </c>
      <c r="O3" s="5"/>
    </row>
    <row r="4">
      <c r="A4" s="5">
        <v>2.0</v>
      </c>
      <c r="B4" s="5">
        <v>2.0</v>
      </c>
      <c r="C4" s="5">
        <v>4.0</v>
      </c>
      <c r="D4" s="5">
        <v>1.0</v>
      </c>
      <c r="E4" s="5">
        <v>4.0</v>
      </c>
      <c r="F4" s="5">
        <v>4.0</v>
      </c>
      <c r="G4" s="5">
        <v>4.0</v>
      </c>
      <c r="H4" s="5">
        <v>4.0</v>
      </c>
      <c r="I4" s="5">
        <v>2.0</v>
      </c>
      <c r="J4" s="5">
        <v>3.0</v>
      </c>
      <c r="K4" s="5">
        <v>1.0</v>
      </c>
      <c r="L4" s="5">
        <v>5.0</v>
      </c>
      <c r="M4" s="5">
        <v>1.0</v>
      </c>
      <c r="N4" s="5">
        <v>3.0</v>
      </c>
      <c r="O4" s="5"/>
    </row>
    <row r="5">
      <c r="A5" s="5">
        <v>3.0</v>
      </c>
      <c r="B5" s="5">
        <v>3.0</v>
      </c>
      <c r="C5" s="5">
        <v>3.0</v>
      </c>
      <c r="D5" s="5">
        <v>4.0</v>
      </c>
      <c r="E5" s="5">
        <v>5.0</v>
      </c>
      <c r="F5" s="5">
        <v>6.0</v>
      </c>
      <c r="G5" s="5">
        <v>7.0</v>
      </c>
      <c r="H5" s="5">
        <v>6.0</v>
      </c>
      <c r="I5" s="5">
        <v>4.0</v>
      </c>
      <c r="J5" s="5">
        <v>5.0</v>
      </c>
      <c r="K5" s="5">
        <v>5.0</v>
      </c>
      <c r="L5" s="5">
        <v>4.0</v>
      </c>
      <c r="M5" s="5">
        <v>4.0</v>
      </c>
      <c r="N5" s="5">
        <v>4.0</v>
      </c>
      <c r="O5" s="5"/>
    </row>
    <row r="6">
      <c r="A6" s="5">
        <v>7.0</v>
      </c>
      <c r="B6" s="5">
        <v>4.0</v>
      </c>
      <c r="C6" s="5">
        <v>6.0</v>
      </c>
      <c r="D6" s="5">
        <v>3.0</v>
      </c>
      <c r="E6" s="5">
        <v>6.0</v>
      </c>
      <c r="F6" s="5">
        <v>6.0</v>
      </c>
      <c r="G6" s="5">
        <v>2.0</v>
      </c>
      <c r="H6" s="5">
        <v>7.0</v>
      </c>
      <c r="I6" s="5">
        <v>4.0</v>
      </c>
      <c r="J6" s="5">
        <v>6.0</v>
      </c>
      <c r="K6" s="5">
        <v>7.0</v>
      </c>
      <c r="L6" s="5">
        <v>4.0</v>
      </c>
      <c r="M6" s="5">
        <v>5.0</v>
      </c>
      <c r="N6" s="5">
        <v>7.0</v>
      </c>
      <c r="O6" s="5"/>
    </row>
    <row r="7">
      <c r="A7" s="5">
        <v>1.0</v>
      </c>
      <c r="B7" s="5">
        <v>3.0</v>
      </c>
      <c r="C7" s="5">
        <v>2.0</v>
      </c>
      <c r="D7" s="5">
        <v>1.0</v>
      </c>
      <c r="E7" s="5">
        <v>5.0</v>
      </c>
      <c r="F7" s="5">
        <v>5.0</v>
      </c>
      <c r="G7" s="5">
        <v>4.0</v>
      </c>
      <c r="H7" s="5">
        <v>6.0</v>
      </c>
      <c r="I7" s="5">
        <v>3.0</v>
      </c>
      <c r="J7" s="5">
        <v>4.0</v>
      </c>
      <c r="K7" s="5">
        <v>2.0</v>
      </c>
      <c r="L7" s="5">
        <v>3.0</v>
      </c>
      <c r="M7" s="5">
        <v>3.0</v>
      </c>
      <c r="N7" s="5">
        <v>3.0</v>
      </c>
      <c r="O7" s="5"/>
    </row>
    <row r="8">
      <c r="A8" s="5">
        <v>5.0</v>
      </c>
      <c r="B8" s="5">
        <v>4.0</v>
      </c>
      <c r="C8" s="5">
        <v>4.0</v>
      </c>
      <c r="D8" s="5">
        <v>7.0</v>
      </c>
      <c r="E8" s="5">
        <v>6.0</v>
      </c>
      <c r="F8" s="5">
        <v>5.0</v>
      </c>
      <c r="G8" s="5">
        <v>6.0</v>
      </c>
      <c r="H8" s="5">
        <v>4.0</v>
      </c>
      <c r="I8" s="5">
        <v>5.0</v>
      </c>
      <c r="J8" s="5">
        <v>7.0</v>
      </c>
      <c r="K8" s="5">
        <v>7.0</v>
      </c>
      <c r="L8" s="5">
        <v>5.0</v>
      </c>
      <c r="M8" s="5">
        <v>6.0</v>
      </c>
      <c r="N8" s="5">
        <v>6.0</v>
      </c>
      <c r="O8" s="5"/>
    </row>
    <row r="9">
      <c r="A9" s="5">
        <v>4.0</v>
      </c>
      <c r="B9" s="5">
        <v>4.0</v>
      </c>
      <c r="C9" s="5">
        <v>3.0</v>
      </c>
      <c r="D9" s="5">
        <v>3.0</v>
      </c>
      <c r="E9" s="5">
        <v>3.0</v>
      </c>
      <c r="F9" s="5">
        <v>4.0</v>
      </c>
      <c r="G9" s="5">
        <v>3.0</v>
      </c>
      <c r="H9" s="5">
        <v>5.0</v>
      </c>
      <c r="I9" s="5">
        <v>4.0</v>
      </c>
      <c r="J9" s="5">
        <v>3.0</v>
      </c>
      <c r="K9" s="5">
        <v>1.0</v>
      </c>
      <c r="L9" s="5">
        <v>4.0</v>
      </c>
      <c r="M9" s="5">
        <v>3.0</v>
      </c>
      <c r="N9" s="5">
        <v>3.0</v>
      </c>
      <c r="O9" s="5"/>
    </row>
    <row r="10">
      <c r="A10" s="5">
        <v>3.0</v>
      </c>
      <c r="B10" s="5">
        <v>4.0</v>
      </c>
      <c r="C10" s="5">
        <v>5.0</v>
      </c>
      <c r="D10" s="5">
        <v>5.0</v>
      </c>
      <c r="E10" s="5">
        <v>3.0</v>
      </c>
      <c r="F10" s="5">
        <v>6.0</v>
      </c>
      <c r="G10" s="5">
        <v>3.0</v>
      </c>
      <c r="H10" s="5">
        <v>7.0</v>
      </c>
      <c r="I10" s="5">
        <v>5.0</v>
      </c>
      <c r="J10" s="5">
        <v>5.0</v>
      </c>
      <c r="K10" s="5">
        <v>2.0</v>
      </c>
      <c r="L10" s="5">
        <v>4.0</v>
      </c>
      <c r="M10" s="5">
        <v>3.0</v>
      </c>
      <c r="N10" s="5">
        <v>3.0</v>
      </c>
      <c r="O10" s="5"/>
    </row>
    <row r="11">
      <c r="A11" s="5">
        <v>3.0</v>
      </c>
      <c r="B11" s="5">
        <v>3.0</v>
      </c>
      <c r="C11" s="5">
        <v>3.0</v>
      </c>
      <c r="D11" s="5">
        <v>3.0</v>
      </c>
      <c r="E11" s="5">
        <v>5.0</v>
      </c>
      <c r="F11" s="5">
        <v>4.0</v>
      </c>
      <c r="G11" s="5">
        <v>2.0</v>
      </c>
      <c r="H11" s="5">
        <v>5.0</v>
      </c>
      <c r="I11" s="5">
        <v>4.0</v>
      </c>
      <c r="J11" s="5">
        <v>3.0</v>
      </c>
      <c r="K11" s="5">
        <v>2.0</v>
      </c>
      <c r="L11" s="5">
        <v>4.0</v>
      </c>
      <c r="M11" s="5">
        <v>5.0</v>
      </c>
      <c r="N11" s="5">
        <v>2.0</v>
      </c>
      <c r="O11" s="5"/>
    </row>
    <row r="12">
      <c r="A12" s="5">
        <v>2.0</v>
      </c>
      <c r="B12" s="5">
        <v>3.0</v>
      </c>
      <c r="C12" s="5">
        <v>6.0</v>
      </c>
      <c r="D12" s="5">
        <v>1.0</v>
      </c>
      <c r="E12" s="5">
        <v>4.0</v>
      </c>
      <c r="F12" s="5">
        <v>6.0</v>
      </c>
      <c r="G12" s="5">
        <v>5.0</v>
      </c>
      <c r="H12" s="5">
        <v>4.0</v>
      </c>
      <c r="I12" s="5">
        <v>3.0</v>
      </c>
      <c r="J12" s="5">
        <v>4.0</v>
      </c>
      <c r="K12" s="5">
        <v>4.0</v>
      </c>
      <c r="L12" s="5">
        <v>3.0</v>
      </c>
      <c r="M12" s="5">
        <v>3.0</v>
      </c>
      <c r="N12" s="5">
        <v>3.0</v>
      </c>
      <c r="O12" s="5"/>
    </row>
    <row r="13">
      <c r="A13" s="5">
        <v>3.0</v>
      </c>
      <c r="B13" s="5">
        <v>4.0</v>
      </c>
      <c r="C13" s="5">
        <v>3.0</v>
      </c>
      <c r="D13" s="5">
        <v>5.0</v>
      </c>
      <c r="E13" s="5">
        <v>5.0</v>
      </c>
      <c r="F13" s="5">
        <v>5.0</v>
      </c>
      <c r="G13" s="5">
        <v>2.0</v>
      </c>
      <c r="H13" s="5">
        <v>5.0</v>
      </c>
      <c r="I13" s="5">
        <v>5.0</v>
      </c>
      <c r="J13" s="5">
        <v>4.0</v>
      </c>
      <c r="K13" s="5">
        <v>3.0</v>
      </c>
      <c r="L13" s="5">
        <v>6.0</v>
      </c>
      <c r="M13" s="5">
        <v>4.0</v>
      </c>
      <c r="N13" s="5">
        <v>4.0</v>
      </c>
      <c r="O13" s="5"/>
    </row>
    <row r="14">
      <c r="A14" s="5">
        <v>7.0</v>
      </c>
      <c r="B14" s="5">
        <v>4.0</v>
      </c>
      <c r="C14" s="5">
        <v>4.0</v>
      </c>
      <c r="D14" s="5">
        <v>5.0</v>
      </c>
      <c r="E14" s="5">
        <v>6.0</v>
      </c>
      <c r="F14" s="5">
        <v>6.0</v>
      </c>
      <c r="G14" s="5">
        <v>5.0</v>
      </c>
      <c r="H14" s="5">
        <v>5.0</v>
      </c>
      <c r="I14" s="5">
        <v>5.0</v>
      </c>
      <c r="J14" s="5">
        <v>5.0</v>
      </c>
      <c r="K14" s="5">
        <v>3.0</v>
      </c>
      <c r="L14" s="5">
        <v>5.0</v>
      </c>
      <c r="M14" s="5">
        <v>6.0</v>
      </c>
      <c r="N14" s="5">
        <v>5.0</v>
      </c>
      <c r="O14" s="5"/>
    </row>
    <row r="15">
      <c r="A15" s="5">
        <v>5.0</v>
      </c>
      <c r="B15" s="5">
        <v>2.0</v>
      </c>
      <c r="C15" s="5">
        <v>5.0</v>
      </c>
      <c r="D15" s="5">
        <v>3.0</v>
      </c>
      <c r="E15" s="5">
        <v>5.0</v>
      </c>
      <c r="F15" s="5">
        <v>6.0</v>
      </c>
      <c r="G15" s="5">
        <v>3.0</v>
      </c>
      <c r="H15" s="5">
        <v>4.0</v>
      </c>
      <c r="I15" s="5">
        <v>5.0</v>
      </c>
      <c r="J15" s="5">
        <v>5.0</v>
      </c>
      <c r="K15" s="5">
        <v>3.0</v>
      </c>
      <c r="L15" s="5">
        <v>4.0</v>
      </c>
      <c r="M15" s="5">
        <v>3.0</v>
      </c>
      <c r="N15" s="5">
        <v>4.0</v>
      </c>
      <c r="O15" s="5"/>
    </row>
    <row r="16">
      <c r="A16" s="5">
        <v>4.0</v>
      </c>
      <c r="B16" s="5">
        <v>3.0</v>
      </c>
      <c r="C16" s="5">
        <v>6.0</v>
      </c>
      <c r="D16" s="5">
        <v>1.0</v>
      </c>
      <c r="E16" s="5">
        <v>6.0</v>
      </c>
      <c r="F16" s="5">
        <v>6.0</v>
      </c>
      <c r="G16" s="13"/>
      <c r="H16" s="5">
        <v>5.0</v>
      </c>
      <c r="I16" s="5">
        <v>3.0</v>
      </c>
      <c r="J16" s="5">
        <v>4.0</v>
      </c>
      <c r="K16" s="5">
        <v>3.0</v>
      </c>
      <c r="L16" s="5">
        <v>3.0</v>
      </c>
      <c r="M16" s="5">
        <v>2.0</v>
      </c>
      <c r="N16" s="5">
        <v>6.0</v>
      </c>
      <c r="O16" s="5"/>
      <c r="P16" s="14" t="s">
        <v>129</v>
      </c>
      <c r="Q16" s="14"/>
      <c r="R16" s="14"/>
      <c r="S16" s="14"/>
      <c r="T16" s="13"/>
      <c r="U16" s="13"/>
      <c r="V16" s="13"/>
    </row>
    <row r="17">
      <c r="A17" s="5">
        <v>3.0</v>
      </c>
      <c r="B17" s="5">
        <v>3.0</v>
      </c>
      <c r="C17" s="5">
        <v>3.0</v>
      </c>
      <c r="D17" s="5">
        <v>7.0</v>
      </c>
      <c r="E17" s="5">
        <v>6.0</v>
      </c>
      <c r="F17" s="5">
        <v>5.0</v>
      </c>
      <c r="G17" s="5">
        <v>6.0</v>
      </c>
      <c r="H17" s="5">
        <v>5.0</v>
      </c>
      <c r="I17" s="5">
        <v>5.0</v>
      </c>
      <c r="J17" s="5">
        <v>6.0</v>
      </c>
      <c r="K17" s="5">
        <v>4.0</v>
      </c>
      <c r="L17" s="5">
        <v>5.0</v>
      </c>
      <c r="M17" s="5">
        <v>5.0</v>
      </c>
      <c r="N17" s="5">
        <v>5.0</v>
      </c>
    </row>
    <row r="18">
      <c r="A18" s="5">
        <v>4.0</v>
      </c>
      <c r="B18" s="5">
        <v>1.0</v>
      </c>
      <c r="C18" s="5">
        <v>2.0</v>
      </c>
      <c r="D18" s="5">
        <v>3.0</v>
      </c>
      <c r="E18" s="5">
        <v>5.0</v>
      </c>
      <c r="F18" s="5">
        <v>6.0</v>
      </c>
      <c r="G18" s="5">
        <v>4.0</v>
      </c>
      <c r="H18" s="5">
        <v>3.0</v>
      </c>
      <c r="I18" s="5">
        <v>4.0</v>
      </c>
      <c r="J18" s="5">
        <v>6.0</v>
      </c>
      <c r="K18" s="5">
        <v>5.0</v>
      </c>
      <c r="L18" s="5">
        <v>3.0</v>
      </c>
      <c r="M18" s="5">
        <v>4.0</v>
      </c>
      <c r="N18" s="5">
        <v>7.0</v>
      </c>
    </row>
    <row r="19"/>
    <row r="20"/>
    <row r="21">
      <c r="A21" s="5" t="s">
        <v>115</v>
      </c>
      <c r="B21" s="5" t="s">
        <v>116</v>
      </c>
      <c r="C21" s="5" t="s">
        <v>117</v>
      </c>
      <c r="D21" s="5" t="s">
        <v>118</v>
      </c>
      <c r="E21" s="5" t="s">
        <v>119</v>
      </c>
      <c r="F21" s="5" t="s">
        <v>120</v>
      </c>
      <c r="G21" s="5" t="s">
        <v>122</v>
      </c>
      <c r="H21" s="5" t="s">
        <v>123</v>
      </c>
      <c r="I21" s="5" t="s">
        <v>124</v>
      </c>
      <c r="J21" s="5" t="s">
        <v>125</v>
      </c>
      <c r="K21" s="5" t="s">
        <v>126</v>
      </c>
      <c r="L21" s="5" t="s">
        <v>127</v>
      </c>
      <c r="M21" s="5" t="s">
        <v>128</v>
      </c>
      <c r="O21" s="15" t="s">
        <v>130</v>
      </c>
      <c r="P21" s="16"/>
      <c r="Q21" s="16"/>
      <c r="R21" s="16"/>
      <c r="S21" s="16"/>
      <c r="T21" s="16"/>
    </row>
    <row r="22">
      <c r="A22" s="5">
        <v>2.0</v>
      </c>
      <c r="B22" s="5">
        <v>2.0</v>
      </c>
      <c r="C22" s="5">
        <v>4.0</v>
      </c>
      <c r="D22" s="5">
        <v>1.0</v>
      </c>
      <c r="E22" s="5">
        <v>4.0</v>
      </c>
      <c r="F22" s="5">
        <v>4.0</v>
      </c>
      <c r="G22" s="5">
        <v>4.0</v>
      </c>
      <c r="H22" s="5">
        <v>2.0</v>
      </c>
      <c r="I22" s="5">
        <v>3.0</v>
      </c>
      <c r="J22" s="5">
        <v>1.0</v>
      </c>
      <c r="K22" s="5">
        <v>5.0</v>
      </c>
      <c r="L22" s="5">
        <v>1.0</v>
      </c>
      <c r="M22" s="5">
        <v>3.0</v>
      </c>
    </row>
    <row r="23">
      <c r="A23" s="5">
        <v>3.0</v>
      </c>
      <c r="B23" s="5">
        <v>3.0</v>
      </c>
      <c r="C23" s="5">
        <v>3.0</v>
      </c>
      <c r="D23" s="5">
        <v>4.0</v>
      </c>
      <c r="E23" s="5">
        <v>5.0</v>
      </c>
      <c r="F23" s="5">
        <v>6.0</v>
      </c>
      <c r="G23" s="5">
        <v>6.0</v>
      </c>
      <c r="H23" s="5">
        <v>4.0</v>
      </c>
      <c r="I23" s="5">
        <v>5.0</v>
      </c>
      <c r="J23" s="5">
        <v>5.0</v>
      </c>
      <c r="K23" s="5">
        <v>4.0</v>
      </c>
      <c r="L23" s="5">
        <v>4.0</v>
      </c>
      <c r="M23" s="5">
        <v>4.0</v>
      </c>
    </row>
    <row r="24">
      <c r="A24" s="5">
        <v>7.0</v>
      </c>
      <c r="B24" s="5">
        <v>4.0</v>
      </c>
      <c r="C24" s="5">
        <v>6.0</v>
      </c>
      <c r="D24" s="5">
        <v>3.0</v>
      </c>
      <c r="E24" s="5">
        <v>6.0</v>
      </c>
      <c r="F24" s="5">
        <v>6.0</v>
      </c>
      <c r="G24" s="5">
        <v>7.0</v>
      </c>
      <c r="H24" s="5">
        <v>4.0</v>
      </c>
      <c r="I24" s="5">
        <v>6.0</v>
      </c>
      <c r="J24" s="5">
        <v>7.0</v>
      </c>
      <c r="K24" s="5">
        <v>4.0</v>
      </c>
      <c r="L24" s="5">
        <v>5.0</v>
      </c>
      <c r="M24" s="5">
        <v>7.0</v>
      </c>
    </row>
    <row r="25">
      <c r="A25" s="5">
        <v>1.0</v>
      </c>
      <c r="B25" s="5">
        <v>3.0</v>
      </c>
      <c r="C25" s="5">
        <v>2.0</v>
      </c>
      <c r="D25" s="5">
        <v>1.0</v>
      </c>
      <c r="E25" s="5">
        <v>5.0</v>
      </c>
      <c r="F25" s="5">
        <v>5.0</v>
      </c>
      <c r="G25" s="5">
        <v>6.0</v>
      </c>
      <c r="H25" s="5">
        <v>3.0</v>
      </c>
      <c r="I25" s="5">
        <v>4.0</v>
      </c>
      <c r="J25" s="5">
        <v>2.0</v>
      </c>
      <c r="K25" s="5">
        <v>3.0</v>
      </c>
      <c r="L25" s="5">
        <v>3.0</v>
      </c>
      <c r="M25" s="5">
        <v>3.0</v>
      </c>
    </row>
    <row r="26">
      <c r="A26" s="5">
        <v>5.0</v>
      </c>
      <c r="B26" s="5">
        <v>4.0</v>
      </c>
      <c r="C26" s="5">
        <v>4.0</v>
      </c>
      <c r="D26" s="5">
        <v>7.0</v>
      </c>
      <c r="E26" s="5">
        <v>6.0</v>
      </c>
      <c r="F26" s="5">
        <v>5.0</v>
      </c>
      <c r="G26" s="5">
        <v>4.0</v>
      </c>
      <c r="H26" s="5">
        <v>5.0</v>
      </c>
      <c r="I26" s="5">
        <v>7.0</v>
      </c>
      <c r="J26" s="5">
        <v>7.0</v>
      </c>
      <c r="K26" s="5">
        <v>5.0</v>
      </c>
      <c r="L26" s="5">
        <v>6.0</v>
      </c>
      <c r="M26" s="5">
        <v>6.0</v>
      </c>
    </row>
    <row r="27">
      <c r="A27" s="5">
        <v>4.0</v>
      </c>
      <c r="B27" s="5">
        <v>4.0</v>
      </c>
      <c r="C27" s="5">
        <v>3.0</v>
      </c>
      <c r="D27" s="5">
        <v>3.0</v>
      </c>
      <c r="E27" s="5">
        <v>3.0</v>
      </c>
      <c r="F27" s="5">
        <v>4.0</v>
      </c>
      <c r="G27" s="5">
        <v>5.0</v>
      </c>
      <c r="H27" s="5">
        <v>4.0</v>
      </c>
      <c r="I27" s="5">
        <v>3.0</v>
      </c>
      <c r="J27" s="5">
        <v>1.0</v>
      </c>
      <c r="K27" s="5">
        <v>4.0</v>
      </c>
      <c r="L27" s="5">
        <v>3.0</v>
      </c>
      <c r="M27" s="5">
        <v>3.0</v>
      </c>
    </row>
    <row r="28">
      <c r="A28" s="5">
        <v>3.0</v>
      </c>
      <c r="B28" s="5">
        <v>4.0</v>
      </c>
      <c r="C28" s="5">
        <v>5.0</v>
      </c>
      <c r="D28" s="5">
        <v>5.0</v>
      </c>
      <c r="E28" s="5">
        <v>3.0</v>
      </c>
      <c r="F28" s="5">
        <v>6.0</v>
      </c>
      <c r="G28" s="5">
        <v>7.0</v>
      </c>
      <c r="H28" s="5">
        <v>5.0</v>
      </c>
      <c r="I28" s="5">
        <v>5.0</v>
      </c>
      <c r="J28" s="5">
        <v>2.0</v>
      </c>
      <c r="K28" s="5">
        <v>4.0</v>
      </c>
      <c r="L28" s="5">
        <v>3.0</v>
      </c>
      <c r="M28" s="5">
        <v>3.0</v>
      </c>
    </row>
    <row r="29">
      <c r="A29" s="5">
        <v>3.0</v>
      </c>
      <c r="B29" s="5">
        <v>3.0</v>
      </c>
      <c r="C29" s="5">
        <v>3.0</v>
      </c>
      <c r="D29" s="5">
        <v>3.0</v>
      </c>
      <c r="E29" s="5">
        <v>5.0</v>
      </c>
      <c r="F29" s="5">
        <v>4.0</v>
      </c>
      <c r="G29" s="5">
        <v>5.0</v>
      </c>
      <c r="H29" s="5">
        <v>4.0</v>
      </c>
      <c r="I29" s="5">
        <v>3.0</v>
      </c>
      <c r="J29" s="5">
        <v>2.0</v>
      </c>
      <c r="K29" s="5">
        <v>4.0</v>
      </c>
      <c r="L29" s="5">
        <v>5.0</v>
      </c>
      <c r="M29" s="5">
        <v>2.0</v>
      </c>
    </row>
    <row r="30">
      <c r="A30" s="5">
        <v>2.0</v>
      </c>
      <c r="B30" s="5">
        <v>3.0</v>
      </c>
      <c r="C30" s="5">
        <v>6.0</v>
      </c>
      <c r="D30" s="5">
        <v>1.0</v>
      </c>
      <c r="E30" s="5">
        <v>4.0</v>
      </c>
      <c r="F30" s="5">
        <v>6.0</v>
      </c>
      <c r="G30" s="5">
        <v>4.0</v>
      </c>
      <c r="H30" s="5">
        <v>3.0</v>
      </c>
      <c r="I30" s="5">
        <v>4.0</v>
      </c>
      <c r="J30" s="5">
        <v>4.0</v>
      </c>
      <c r="K30" s="5">
        <v>3.0</v>
      </c>
      <c r="L30" s="5">
        <v>3.0</v>
      </c>
      <c r="M30" s="5">
        <v>3.0</v>
      </c>
    </row>
    <row r="31">
      <c r="A31" s="5">
        <v>3.0</v>
      </c>
      <c r="B31" s="5">
        <v>4.0</v>
      </c>
      <c r="C31" s="5">
        <v>3.0</v>
      </c>
      <c r="D31" s="5">
        <v>5.0</v>
      </c>
      <c r="E31" s="5">
        <v>5.0</v>
      </c>
      <c r="F31" s="5">
        <v>5.0</v>
      </c>
      <c r="G31" s="5">
        <v>5.0</v>
      </c>
      <c r="H31" s="5">
        <v>5.0</v>
      </c>
      <c r="I31" s="5">
        <v>4.0</v>
      </c>
      <c r="J31" s="5">
        <v>3.0</v>
      </c>
      <c r="K31" s="5">
        <v>6.0</v>
      </c>
      <c r="L31" s="5">
        <v>4.0</v>
      </c>
      <c r="M31" s="5">
        <v>4.0</v>
      </c>
    </row>
    <row r="32">
      <c r="A32" s="5">
        <v>7.0</v>
      </c>
      <c r="B32" s="5">
        <v>4.0</v>
      </c>
      <c r="C32" s="5">
        <v>4.0</v>
      </c>
      <c r="D32" s="5">
        <v>5.0</v>
      </c>
      <c r="E32" s="5">
        <v>6.0</v>
      </c>
      <c r="F32" s="5">
        <v>6.0</v>
      </c>
      <c r="G32" s="5">
        <v>5.0</v>
      </c>
      <c r="H32" s="5">
        <v>5.0</v>
      </c>
      <c r="I32" s="5">
        <v>5.0</v>
      </c>
      <c r="J32" s="5">
        <v>3.0</v>
      </c>
      <c r="K32" s="5">
        <v>5.0</v>
      </c>
      <c r="L32" s="5">
        <v>6.0</v>
      </c>
      <c r="M32" s="5">
        <v>5.0</v>
      </c>
    </row>
    <row r="33">
      <c r="A33" s="5">
        <v>5.0</v>
      </c>
      <c r="B33" s="5">
        <v>2.0</v>
      </c>
      <c r="C33" s="5">
        <v>5.0</v>
      </c>
      <c r="D33" s="5">
        <v>3.0</v>
      </c>
      <c r="E33" s="5">
        <v>5.0</v>
      </c>
      <c r="F33" s="5">
        <v>6.0</v>
      </c>
      <c r="G33" s="5">
        <v>4.0</v>
      </c>
      <c r="H33" s="5">
        <v>5.0</v>
      </c>
      <c r="I33" s="5">
        <v>5.0</v>
      </c>
      <c r="J33" s="5">
        <v>3.0</v>
      </c>
      <c r="K33" s="5">
        <v>4.0</v>
      </c>
      <c r="L33" s="5">
        <v>3.0</v>
      </c>
      <c r="M33" s="5">
        <v>4.0</v>
      </c>
    </row>
    <row r="34">
      <c r="A34" s="5">
        <v>4.0</v>
      </c>
      <c r="B34" s="5">
        <v>3.0</v>
      </c>
      <c r="C34" s="5">
        <v>6.0</v>
      </c>
      <c r="D34" s="5">
        <v>1.0</v>
      </c>
      <c r="E34" s="5">
        <v>6.0</v>
      </c>
      <c r="F34" s="5">
        <v>6.0</v>
      </c>
      <c r="G34" s="5">
        <v>5.0</v>
      </c>
      <c r="H34" s="5">
        <v>3.0</v>
      </c>
      <c r="I34" s="5">
        <v>4.0</v>
      </c>
      <c r="J34" s="5">
        <v>3.0</v>
      </c>
      <c r="K34" s="5">
        <v>3.0</v>
      </c>
      <c r="L34" s="5">
        <v>2.0</v>
      </c>
      <c r="M34" s="5">
        <v>6.0</v>
      </c>
    </row>
    <row r="35">
      <c r="A35" s="5">
        <v>3.0</v>
      </c>
      <c r="B35" s="5">
        <v>3.0</v>
      </c>
      <c r="C35" s="5">
        <v>3.0</v>
      </c>
      <c r="D35" s="5">
        <v>7.0</v>
      </c>
      <c r="E35" s="5">
        <v>6.0</v>
      </c>
      <c r="F35" s="5">
        <v>5.0</v>
      </c>
      <c r="G35" s="5">
        <v>5.0</v>
      </c>
      <c r="H35" s="5">
        <v>5.0</v>
      </c>
      <c r="I35" s="5">
        <v>6.0</v>
      </c>
      <c r="J35" s="5">
        <v>4.0</v>
      </c>
      <c r="K35" s="5">
        <v>5.0</v>
      </c>
      <c r="L35" s="5">
        <v>5.0</v>
      </c>
      <c r="M35" s="5">
        <v>5.0</v>
      </c>
    </row>
    <row r="36">
      <c r="A36" s="5">
        <v>4.0</v>
      </c>
      <c r="B36" s="5">
        <v>1.0</v>
      </c>
      <c r="C36" s="5">
        <v>2.0</v>
      </c>
      <c r="D36" s="5">
        <v>3.0</v>
      </c>
      <c r="E36" s="5">
        <v>5.0</v>
      </c>
      <c r="F36" s="5">
        <v>6.0</v>
      </c>
      <c r="G36" s="5">
        <v>3.0</v>
      </c>
      <c r="H36" s="5">
        <v>4.0</v>
      </c>
      <c r="I36" s="5">
        <v>6.0</v>
      </c>
      <c r="J36" s="5">
        <v>5.0</v>
      </c>
      <c r="K36" s="5">
        <v>3.0</v>
      </c>
      <c r="L36" s="5">
        <v>4.0</v>
      </c>
      <c r="M36" s="5">
        <v>7.0</v>
      </c>
    </row>
    <row r="40">
      <c r="A40" s="17" t="s">
        <v>131</v>
      </c>
    </row>
    <row r="41">
      <c r="A41" s="5" t="s">
        <v>115</v>
      </c>
      <c r="B41" s="5" t="s">
        <v>116</v>
      </c>
      <c r="C41" s="5" t="s">
        <v>117</v>
      </c>
      <c r="D41" s="5" t="s">
        <v>118</v>
      </c>
      <c r="E41" s="5" t="s">
        <v>119</v>
      </c>
      <c r="F41" s="5" t="s">
        <v>120</v>
      </c>
      <c r="G41" s="5" t="s">
        <v>121</v>
      </c>
      <c r="H41" s="5" t="s">
        <v>122</v>
      </c>
      <c r="I41" s="5" t="s">
        <v>123</v>
      </c>
      <c r="J41" s="5" t="s">
        <v>124</v>
      </c>
    </row>
    <row r="42">
      <c r="A42" s="5">
        <v>2.0</v>
      </c>
      <c r="B42" s="5">
        <v>2.0</v>
      </c>
      <c r="C42" s="5">
        <v>4.0</v>
      </c>
      <c r="D42" s="5">
        <v>1.0</v>
      </c>
      <c r="E42" s="5">
        <v>4.0</v>
      </c>
      <c r="F42" s="5">
        <v>4.0</v>
      </c>
      <c r="G42" s="5">
        <v>4.0</v>
      </c>
      <c r="H42" s="5">
        <v>2.0</v>
      </c>
      <c r="I42" s="5">
        <v>3.0</v>
      </c>
      <c r="J42" s="5">
        <v>1.0</v>
      </c>
    </row>
    <row r="43">
      <c r="A43" s="5">
        <v>3.0</v>
      </c>
      <c r="B43" s="5">
        <v>3.0</v>
      </c>
      <c r="C43" s="5">
        <v>3.0</v>
      </c>
      <c r="D43" s="5">
        <v>4.0</v>
      </c>
      <c r="E43" s="5">
        <v>5.0</v>
      </c>
      <c r="F43" s="5">
        <v>6.0</v>
      </c>
      <c r="G43" s="5">
        <v>6.0</v>
      </c>
      <c r="H43" s="5">
        <v>4.0</v>
      </c>
      <c r="I43" s="5">
        <v>5.0</v>
      </c>
      <c r="J43" s="5">
        <v>5.0</v>
      </c>
    </row>
    <row r="44">
      <c r="A44" s="5">
        <v>7.0</v>
      </c>
      <c r="B44" s="5">
        <v>4.0</v>
      </c>
      <c r="C44" s="5">
        <v>6.0</v>
      </c>
      <c r="D44" s="5">
        <v>3.0</v>
      </c>
      <c r="E44" s="5">
        <v>6.0</v>
      </c>
      <c r="F44" s="5">
        <v>6.0</v>
      </c>
      <c r="G44" s="5">
        <v>7.0</v>
      </c>
      <c r="H44" s="5">
        <v>4.0</v>
      </c>
      <c r="I44" s="5">
        <v>6.0</v>
      </c>
      <c r="J44" s="5">
        <v>7.0</v>
      </c>
    </row>
    <row r="45">
      <c r="A45" s="5">
        <v>1.0</v>
      </c>
      <c r="B45" s="5">
        <v>3.0</v>
      </c>
      <c r="C45" s="5">
        <v>2.0</v>
      </c>
      <c r="D45" s="5">
        <v>1.0</v>
      </c>
      <c r="E45" s="5">
        <v>5.0</v>
      </c>
      <c r="F45" s="5">
        <v>5.0</v>
      </c>
      <c r="G45" s="5">
        <v>6.0</v>
      </c>
      <c r="H45" s="5">
        <v>3.0</v>
      </c>
      <c r="I45" s="5">
        <v>4.0</v>
      </c>
      <c r="J45" s="5">
        <v>2.0</v>
      </c>
    </row>
    <row r="46">
      <c r="A46" s="5">
        <v>5.0</v>
      </c>
      <c r="B46" s="5">
        <v>4.0</v>
      </c>
      <c r="C46" s="5">
        <v>4.0</v>
      </c>
      <c r="D46" s="5">
        <v>7.0</v>
      </c>
      <c r="E46" s="5">
        <v>6.0</v>
      </c>
      <c r="F46" s="5">
        <v>5.0</v>
      </c>
      <c r="G46" s="5">
        <v>4.0</v>
      </c>
      <c r="H46" s="5">
        <v>5.0</v>
      </c>
      <c r="I46" s="5">
        <v>7.0</v>
      </c>
      <c r="J46" s="5">
        <v>7.0</v>
      </c>
    </row>
    <row r="47">
      <c r="A47" s="5">
        <v>4.0</v>
      </c>
      <c r="B47" s="5">
        <v>4.0</v>
      </c>
      <c r="C47" s="5">
        <v>3.0</v>
      </c>
      <c r="D47" s="5">
        <v>3.0</v>
      </c>
      <c r="E47" s="5">
        <v>3.0</v>
      </c>
      <c r="F47" s="5">
        <v>4.0</v>
      </c>
      <c r="G47" s="5">
        <v>5.0</v>
      </c>
      <c r="H47" s="5">
        <v>4.0</v>
      </c>
      <c r="I47" s="5">
        <v>3.0</v>
      </c>
      <c r="J47" s="5">
        <v>1.0</v>
      </c>
    </row>
    <row r="48">
      <c r="A48" s="5">
        <v>3.0</v>
      </c>
      <c r="B48" s="5">
        <v>4.0</v>
      </c>
      <c r="C48" s="5">
        <v>5.0</v>
      </c>
      <c r="D48" s="5">
        <v>5.0</v>
      </c>
      <c r="E48" s="5">
        <v>3.0</v>
      </c>
      <c r="F48" s="5">
        <v>6.0</v>
      </c>
      <c r="G48" s="5">
        <v>7.0</v>
      </c>
      <c r="H48" s="5">
        <v>5.0</v>
      </c>
      <c r="I48" s="5">
        <v>5.0</v>
      </c>
      <c r="J48" s="5">
        <v>2.0</v>
      </c>
    </row>
    <row r="49">
      <c r="A49" s="5">
        <v>3.0</v>
      </c>
      <c r="B49" s="5">
        <v>3.0</v>
      </c>
      <c r="C49" s="5">
        <v>3.0</v>
      </c>
      <c r="D49" s="5">
        <v>3.0</v>
      </c>
      <c r="E49" s="5">
        <v>5.0</v>
      </c>
      <c r="F49" s="5">
        <v>4.0</v>
      </c>
      <c r="G49" s="5">
        <v>5.0</v>
      </c>
      <c r="H49" s="5">
        <v>4.0</v>
      </c>
      <c r="I49" s="5">
        <v>3.0</v>
      </c>
      <c r="J49" s="5">
        <v>2.0</v>
      </c>
    </row>
    <row r="50">
      <c r="A50" s="5">
        <v>2.0</v>
      </c>
      <c r="B50" s="5">
        <v>3.0</v>
      </c>
      <c r="C50" s="5">
        <v>6.0</v>
      </c>
      <c r="D50" s="5">
        <v>1.0</v>
      </c>
      <c r="E50" s="5">
        <v>4.0</v>
      </c>
      <c r="F50" s="5">
        <v>6.0</v>
      </c>
      <c r="G50" s="5">
        <v>4.0</v>
      </c>
      <c r="H50" s="5">
        <v>3.0</v>
      </c>
      <c r="I50" s="5">
        <v>4.0</v>
      </c>
      <c r="J50" s="5">
        <v>4.0</v>
      </c>
    </row>
    <row r="51">
      <c r="A51" s="5">
        <v>3.0</v>
      </c>
      <c r="B51" s="5">
        <v>4.0</v>
      </c>
      <c r="C51" s="5">
        <v>3.0</v>
      </c>
      <c r="D51" s="5">
        <v>5.0</v>
      </c>
      <c r="E51" s="5">
        <v>5.0</v>
      </c>
      <c r="F51" s="5">
        <v>5.0</v>
      </c>
      <c r="G51" s="5">
        <v>5.0</v>
      </c>
      <c r="H51" s="5">
        <v>5.0</v>
      </c>
      <c r="I51" s="5">
        <v>4.0</v>
      </c>
      <c r="J51" s="5">
        <v>3.0</v>
      </c>
    </row>
    <row r="52">
      <c r="A52" s="5">
        <v>7.0</v>
      </c>
      <c r="B52" s="5">
        <v>4.0</v>
      </c>
      <c r="C52" s="5">
        <v>4.0</v>
      </c>
      <c r="D52" s="5">
        <v>5.0</v>
      </c>
      <c r="E52" s="5">
        <v>6.0</v>
      </c>
      <c r="F52" s="5">
        <v>6.0</v>
      </c>
      <c r="G52" s="5">
        <v>5.0</v>
      </c>
      <c r="H52" s="5">
        <v>5.0</v>
      </c>
      <c r="I52" s="5">
        <v>5.0</v>
      </c>
      <c r="J52" s="5">
        <v>3.0</v>
      </c>
    </row>
    <row r="53">
      <c r="A53" s="5">
        <v>5.0</v>
      </c>
      <c r="B53" s="5">
        <v>2.0</v>
      </c>
      <c r="C53" s="5">
        <v>5.0</v>
      </c>
      <c r="D53" s="5">
        <v>3.0</v>
      </c>
      <c r="E53" s="5">
        <v>5.0</v>
      </c>
      <c r="F53" s="5">
        <v>6.0</v>
      </c>
      <c r="G53" s="5">
        <v>4.0</v>
      </c>
      <c r="H53" s="5">
        <v>5.0</v>
      </c>
      <c r="I53" s="5">
        <v>5.0</v>
      </c>
      <c r="J53" s="5">
        <v>3.0</v>
      </c>
    </row>
    <row r="54">
      <c r="A54" s="5">
        <v>4.0</v>
      </c>
      <c r="B54" s="5">
        <v>3.0</v>
      </c>
      <c r="C54" s="5">
        <v>6.0</v>
      </c>
      <c r="D54" s="5">
        <v>1.0</v>
      </c>
      <c r="E54" s="5">
        <v>6.0</v>
      </c>
      <c r="F54" s="5">
        <v>6.0</v>
      </c>
      <c r="G54" s="5">
        <v>5.0</v>
      </c>
      <c r="H54" s="5">
        <v>3.0</v>
      </c>
      <c r="I54" s="5">
        <v>4.0</v>
      </c>
      <c r="J54" s="5">
        <v>3.0</v>
      </c>
    </row>
    <row r="55">
      <c r="A55" s="5">
        <v>3.0</v>
      </c>
      <c r="B55" s="5">
        <v>3.0</v>
      </c>
      <c r="C55" s="5">
        <v>3.0</v>
      </c>
      <c r="D55" s="5">
        <v>7.0</v>
      </c>
      <c r="E55" s="5">
        <v>6.0</v>
      </c>
      <c r="F55" s="5">
        <v>5.0</v>
      </c>
      <c r="G55" s="5">
        <v>5.0</v>
      </c>
      <c r="H55" s="5">
        <v>5.0</v>
      </c>
      <c r="I55" s="5">
        <v>6.0</v>
      </c>
      <c r="J55" s="5">
        <v>4.0</v>
      </c>
    </row>
    <row r="56">
      <c r="A56" s="5">
        <v>4.0</v>
      </c>
      <c r="B56" s="5">
        <v>1.0</v>
      </c>
      <c r="C56" s="5">
        <v>2.0</v>
      </c>
      <c r="D56" s="5">
        <v>3.0</v>
      </c>
      <c r="E56" s="5">
        <v>5.0</v>
      </c>
      <c r="F56" s="5">
        <v>6.0</v>
      </c>
      <c r="G56" s="5">
        <v>3.0</v>
      </c>
      <c r="H56" s="5">
        <v>4.0</v>
      </c>
      <c r="I56" s="5">
        <v>6.0</v>
      </c>
      <c r="J56" s="5">
        <v>5.0</v>
      </c>
    </row>
  </sheetData>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1.0"/>
  </cols>
  <sheetData>
    <row r="1">
      <c r="A1" s="18" t="s">
        <v>132</v>
      </c>
      <c r="B1" s="19" t="s">
        <v>133</v>
      </c>
      <c r="C1" s="19" t="s">
        <v>134</v>
      </c>
      <c r="D1" s="19" t="s">
        <v>135</v>
      </c>
      <c r="E1" s="19" t="s">
        <v>136</v>
      </c>
      <c r="F1" s="19" t="s">
        <v>137</v>
      </c>
    </row>
    <row r="2">
      <c r="A2" s="20">
        <v>1.0</v>
      </c>
      <c r="B2" s="21">
        <v>3.0</v>
      </c>
      <c r="C2" s="21">
        <v>1.0</v>
      </c>
      <c r="D2" s="21">
        <v>2.0</v>
      </c>
      <c r="E2" s="21">
        <v>2.0</v>
      </c>
      <c r="F2" s="21">
        <v>3.0</v>
      </c>
    </row>
    <row r="3">
      <c r="A3" s="20">
        <v>2.0</v>
      </c>
      <c r="B3" s="21">
        <v>1.0</v>
      </c>
      <c r="C3" s="21">
        <v>2.0</v>
      </c>
      <c r="D3" s="21">
        <v>1.0</v>
      </c>
      <c r="E3" s="21">
        <v>1.0</v>
      </c>
      <c r="F3" s="21">
        <v>2.0</v>
      </c>
    </row>
    <row r="4">
      <c r="A4" s="20">
        <v>3.0</v>
      </c>
      <c r="B4" s="21">
        <v>1.0</v>
      </c>
      <c r="C4" s="21">
        <v>1.0</v>
      </c>
      <c r="D4" s="21">
        <v>1.0</v>
      </c>
      <c r="E4" s="21">
        <v>3.0</v>
      </c>
      <c r="F4" s="21">
        <v>3.0</v>
      </c>
    </row>
    <row r="5">
      <c r="A5" s="20">
        <v>4.0</v>
      </c>
      <c r="B5" s="21">
        <v>2.0</v>
      </c>
      <c r="C5" s="21">
        <v>2.0</v>
      </c>
      <c r="D5" s="21">
        <v>2.0</v>
      </c>
      <c r="E5" s="21">
        <v>3.0</v>
      </c>
      <c r="F5" s="21">
        <v>3.0</v>
      </c>
    </row>
    <row r="6">
      <c r="A6" s="20">
        <v>5.0</v>
      </c>
      <c r="B6" s="21">
        <v>1.0</v>
      </c>
      <c r="C6" s="21">
        <v>1.0</v>
      </c>
      <c r="D6" s="21">
        <v>2.0</v>
      </c>
      <c r="E6" s="21">
        <v>1.0</v>
      </c>
      <c r="F6" s="21">
        <v>2.0</v>
      </c>
    </row>
    <row r="7">
      <c r="A7" s="20">
        <v>6.0</v>
      </c>
      <c r="B7" s="21">
        <v>3.0</v>
      </c>
      <c r="C7" s="21">
        <v>3.0</v>
      </c>
      <c r="D7" s="21">
        <v>2.0</v>
      </c>
      <c r="E7" s="21">
        <v>3.0</v>
      </c>
      <c r="F7" s="21">
        <v>2.0</v>
      </c>
    </row>
    <row r="8">
      <c r="A8" s="20">
        <v>7.0</v>
      </c>
      <c r="B8" s="21">
        <v>3.0</v>
      </c>
      <c r="C8" s="21">
        <v>1.0</v>
      </c>
      <c r="D8" s="21">
        <v>1.0</v>
      </c>
      <c r="E8" s="21">
        <v>2.0</v>
      </c>
      <c r="F8" s="21">
        <v>1.0</v>
      </c>
    </row>
    <row r="9">
      <c r="A9" s="20">
        <v>8.0</v>
      </c>
      <c r="B9" s="21">
        <v>3.0</v>
      </c>
      <c r="C9" s="21">
        <v>3.0</v>
      </c>
      <c r="D9" s="21">
        <v>2.0</v>
      </c>
      <c r="E9" s="21">
        <v>1.0</v>
      </c>
      <c r="F9" s="21">
        <v>1.0</v>
      </c>
    </row>
    <row r="10">
      <c r="A10" s="20">
        <v>9.0</v>
      </c>
      <c r="B10" s="21">
        <v>3.0</v>
      </c>
      <c r="C10" s="21">
        <v>2.0</v>
      </c>
      <c r="D10" s="21">
        <v>1.0</v>
      </c>
      <c r="E10" s="21">
        <v>1.0</v>
      </c>
      <c r="F10" s="21">
        <v>3.0</v>
      </c>
    </row>
    <row r="11">
      <c r="A11" s="20">
        <v>10.0</v>
      </c>
      <c r="B11" s="21">
        <v>2.0</v>
      </c>
      <c r="C11" s="21">
        <v>1.0</v>
      </c>
      <c r="D11" s="21">
        <v>2.0</v>
      </c>
      <c r="E11" s="21">
        <v>1.0</v>
      </c>
      <c r="F11" s="21">
        <v>1.0</v>
      </c>
    </row>
    <row r="12">
      <c r="A12" s="20">
        <v>11.0</v>
      </c>
      <c r="B12" s="21">
        <v>1.0</v>
      </c>
      <c r="C12" s="21">
        <v>3.0</v>
      </c>
      <c r="D12" s="21">
        <v>1.0</v>
      </c>
      <c r="E12" s="21">
        <v>3.0</v>
      </c>
      <c r="F12" s="21">
        <v>1.0</v>
      </c>
    </row>
    <row r="13">
      <c r="A13" s="20">
        <v>12.0</v>
      </c>
      <c r="B13" s="21">
        <v>2.0</v>
      </c>
      <c r="C13" s="21">
        <v>3.0</v>
      </c>
      <c r="D13" s="21">
        <v>1.0</v>
      </c>
      <c r="E13" s="21">
        <v>2.0</v>
      </c>
      <c r="F13" s="21">
        <v>2.0</v>
      </c>
    </row>
    <row r="14">
      <c r="A14" s="20">
        <v>13.0</v>
      </c>
      <c r="B14" s="21">
        <v>2.0</v>
      </c>
      <c r="C14" s="21">
        <v>3.0</v>
      </c>
      <c r="D14" s="21">
        <v>1.0</v>
      </c>
      <c r="E14" s="21">
        <v>1.0</v>
      </c>
      <c r="F14" s="21">
        <v>3.0</v>
      </c>
    </row>
    <row r="15">
      <c r="A15" s="20">
        <v>14.0</v>
      </c>
      <c r="B15" s="21">
        <v>1.0</v>
      </c>
      <c r="C15" s="21">
        <v>2.0</v>
      </c>
      <c r="D15" s="21">
        <v>2.0</v>
      </c>
      <c r="E15" s="21">
        <v>2.0</v>
      </c>
      <c r="F15" s="21">
        <v>1.0</v>
      </c>
    </row>
    <row r="16">
      <c r="A16" s="20">
        <v>15.0</v>
      </c>
      <c r="B16" s="21">
        <v>1.0</v>
      </c>
      <c r="C16" s="21">
        <v>3.0</v>
      </c>
      <c r="D16" s="21">
        <v>2.0</v>
      </c>
      <c r="E16" s="21">
        <v>2.0</v>
      </c>
      <c r="F16" s="21">
        <v>3.0</v>
      </c>
    </row>
    <row r="17"/>
    <row r="18"/>
    <row r="19"/>
    <row r="20"/>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6.38"/>
    <col customWidth="1" min="2" max="2" width="9.38"/>
    <col customWidth="1" min="3" max="3" width="27.88"/>
    <col customWidth="1" min="4" max="4" width="13.0"/>
    <col customWidth="1" min="5" max="5" width="11.5"/>
    <col customWidth="1" min="6" max="6" width="15.88"/>
    <col customWidth="1" min="7" max="7" width="5.5"/>
    <col customWidth="1" min="8" max="9" width="4.63"/>
    <col customWidth="1" min="10" max="10" width="6.13"/>
    <col customWidth="1" min="11" max="11" width="8.88"/>
    <col customWidth="1" min="12" max="12" width="12.5"/>
    <col customWidth="1" min="13" max="13" width="26.25"/>
    <col customWidth="1" min="14" max="14" width="19.0"/>
    <col customWidth="1" min="15" max="26" width="8.88"/>
  </cols>
  <sheetData>
    <row r="1">
      <c r="A1" s="22">
        <v>50.0</v>
      </c>
      <c r="B1" s="22">
        <v>100.0</v>
      </c>
      <c r="C1" s="23" t="s">
        <v>138</v>
      </c>
      <c r="D1" s="23" t="s">
        <v>139</v>
      </c>
      <c r="E1" s="22" t="s">
        <v>140</v>
      </c>
      <c r="F1" s="2" t="s">
        <v>141</v>
      </c>
      <c r="G1" s="2" t="s">
        <v>142</v>
      </c>
      <c r="H1" s="24">
        <v>0.2</v>
      </c>
      <c r="I1" s="24">
        <v>0.25</v>
      </c>
      <c r="J1" s="2" t="s">
        <v>143</v>
      </c>
      <c r="L1" s="5"/>
      <c r="M1" s="5"/>
      <c r="N1" s="5"/>
      <c r="O1" s="5"/>
      <c r="P1" s="5"/>
      <c r="Q1" s="5"/>
      <c r="R1" s="5"/>
      <c r="S1" s="5"/>
      <c r="T1" s="5"/>
      <c r="U1" s="5"/>
      <c r="V1" s="5"/>
      <c r="W1" s="5"/>
      <c r="X1" s="5"/>
      <c r="Y1" s="5"/>
    </row>
    <row r="2">
      <c r="A2" s="25">
        <v>0.0</v>
      </c>
      <c r="B2" s="25">
        <v>1.0</v>
      </c>
      <c r="C2" s="25">
        <v>0.0</v>
      </c>
      <c r="D2" s="25">
        <v>0.0</v>
      </c>
      <c r="E2" s="25">
        <v>1.0</v>
      </c>
      <c r="F2" s="25">
        <v>1.0</v>
      </c>
      <c r="G2" s="25">
        <v>0.0</v>
      </c>
      <c r="H2" s="25">
        <v>0.0</v>
      </c>
      <c r="I2" s="25">
        <v>1.0</v>
      </c>
      <c r="L2" s="26" t="s">
        <v>144</v>
      </c>
      <c r="M2" s="27"/>
      <c r="O2" s="5"/>
      <c r="P2" s="5"/>
      <c r="Q2" s="5"/>
      <c r="R2" s="5"/>
      <c r="S2" s="5"/>
      <c r="T2" s="5"/>
      <c r="U2" s="5"/>
      <c r="V2" s="5"/>
      <c r="W2" s="5"/>
      <c r="X2" s="5"/>
      <c r="Y2" s="5"/>
    </row>
    <row r="3">
      <c r="A3" s="25">
        <v>0.0</v>
      </c>
      <c r="B3" s="25">
        <v>0.0</v>
      </c>
      <c r="C3" s="25">
        <v>1.0</v>
      </c>
      <c r="D3" s="25">
        <v>0.0</v>
      </c>
      <c r="E3" s="25">
        <v>0.0</v>
      </c>
      <c r="F3" s="25">
        <v>0.0</v>
      </c>
      <c r="G3" s="25">
        <v>0.0</v>
      </c>
      <c r="H3" s="25">
        <v>1.0</v>
      </c>
      <c r="I3" s="25">
        <v>0.0</v>
      </c>
      <c r="L3" s="28" t="s">
        <v>145</v>
      </c>
      <c r="M3" s="29">
        <v>0.0</v>
      </c>
      <c r="O3" s="5"/>
      <c r="P3" s="5"/>
      <c r="Q3" s="5"/>
      <c r="R3" s="5"/>
      <c r="S3" s="5"/>
      <c r="T3" s="5"/>
      <c r="U3" s="5"/>
      <c r="V3" s="5"/>
      <c r="W3" s="5"/>
      <c r="X3" s="5"/>
      <c r="Y3" s="5"/>
    </row>
    <row r="4">
      <c r="A4" s="25">
        <v>0.0</v>
      </c>
      <c r="B4" s="25">
        <v>0.0</v>
      </c>
      <c r="C4" s="25">
        <v>0.0</v>
      </c>
      <c r="D4" s="25">
        <v>0.0</v>
      </c>
      <c r="E4" s="25">
        <v>0.0</v>
      </c>
      <c r="F4" s="25">
        <v>0.0</v>
      </c>
      <c r="G4" s="25">
        <v>1.0</v>
      </c>
      <c r="H4" s="25">
        <v>0.0</v>
      </c>
      <c r="I4" s="25">
        <v>1.0</v>
      </c>
      <c r="L4" s="28" t="s">
        <v>146</v>
      </c>
      <c r="M4" s="29" t="s">
        <v>147</v>
      </c>
      <c r="O4" s="5"/>
      <c r="P4" s="5"/>
      <c r="Q4" s="5"/>
      <c r="R4" s="5"/>
      <c r="S4" s="5"/>
      <c r="T4" s="5"/>
      <c r="U4" s="5"/>
      <c r="V4" s="5"/>
      <c r="W4" s="5"/>
      <c r="X4" s="5"/>
      <c r="Y4" s="5"/>
    </row>
    <row r="5">
      <c r="A5" s="25">
        <v>1.0</v>
      </c>
      <c r="B5" s="25">
        <v>0.0</v>
      </c>
      <c r="C5" s="25">
        <v>1.0</v>
      </c>
      <c r="D5" s="25">
        <v>0.0</v>
      </c>
      <c r="E5" s="25">
        <v>1.0</v>
      </c>
      <c r="F5" s="25">
        <v>0.0</v>
      </c>
      <c r="G5" s="25">
        <v>1.0</v>
      </c>
      <c r="H5" s="25">
        <v>0.0</v>
      </c>
      <c r="I5" s="25">
        <v>1.0</v>
      </c>
      <c r="L5" s="28" t="s">
        <v>148</v>
      </c>
      <c r="M5" s="29" t="s">
        <v>149</v>
      </c>
      <c r="O5" s="5"/>
      <c r="P5" s="5"/>
      <c r="Q5" s="5"/>
      <c r="R5" s="5"/>
      <c r="S5" s="5"/>
      <c r="T5" s="5"/>
      <c r="U5" s="5"/>
      <c r="V5" s="5"/>
      <c r="W5" s="5"/>
      <c r="X5" s="5"/>
      <c r="Y5" s="5"/>
    </row>
    <row r="6">
      <c r="A6" s="25">
        <v>0.0</v>
      </c>
      <c r="B6" s="25">
        <v>0.0</v>
      </c>
      <c r="C6" s="25">
        <v>0.0</v>
      </c>
      <c r="D6" s="25">
        <v>0.0</v>
      </c>
      <c r="E6" s="25">
        <v>1.0</v>
      </c>
      <c r="F6" s="25">
        <v>0.0</v>
      </c>
      <c r="G6" s="25">
        <v>0.0</v>
      </c>
      <c r="H6" s="25">
        <v>1.0</v>
      </c>
      <c r="I6" s="25">
        <v>0.0</v>
      </c>
      <c r="L6" s="28" t="s">
        <v>150</v>
      </c>
      <c r="M6" s="29" t="s">
        <v>151</v>
      </c>
      <c r="O6" s="5"/>
      <c r="P6" s="5"/>
      <c r="Q6" s="5"/>
      <c r="R6" s="5"/>
      <c r="S6" s="5"/>
      <c r="T6" s="5"/>
      <c r="U6" s="5"/>
      <c r="V6" s="5"/>
      <c r="W6" s="5"/>
      <c r="X6" s="5"/>
      <c r="Y6" s="5"/>
    </row>
    <row r="7">
      <c r="A7" s="25">
        <v>0.0</v>
      </c>
      <c r="B7" s="25">
        <v>1.0</v>
      </c>
      <c r="C7" s="25">
        <v>0.0</v>
      </c>
      <c r="D7" s="25">
        <v>1.0</v>
      </c>
      <c r="E7" s="25">
        <v>1.0</v>
      </c>
      <c r="F7" s="25">
        <v>0.0</v>
      </c>
      <c r="G7" s="25">
        <v>1.0</v>
      </c>
      <c r="H7" s="25">
        <v>1.0</v>
      </c>
      <c r="I7" s="25">
        <v>0.0</v>
      </c>
      <c r="L7" s="30" t="s">
        <v>152</v>
      </c>
      <c r="M7" s="31">
        <v>0.15</v>
      </c>
      <c r="O7" s="5"/>
      <c r="P7" s="5"/>
      <c r="Q7" s="5"/>
      <c r="R7" s="5"/>
      <c r="S7" s="5"/>
      <c r="T7" s="5"/>
      <c r="U7" s="5"/>
      <c r="V7" s="5"/>
      <c r="W7" s="5"/>
      <c r="X7" s="5"/>
      <c r="Y7" s="5"/>
    </row>
    <row r="8">
      <c r="A8" s="25">
        <v>0.0</v>
      </c>
      <c r="B8" s="25">
        <v>1.0</v>
      </c>
      <c r="C8" s="25">
        <v>0.0</v>
      </c>
      <c r="D8" s="25">
        <v>0.0</v>
      </c>
      <c r="E8" s="25">
        <v>0.0</v>
      </c>
      <c r="F8" s="25">
        <v>1.0</v>
      </c>
      <c r="G8" s="25">
        <v>0.0</v>
      </c>
      <c r="H8" s="25">
        <v>0.0</v>
      </c>
      <c r="I8" s="25">
        <v>0.0</v>
      </c>
      <c r="L8" s="5"/>
      <c r="M8" s="5"/>
      <c r="N8" s="5"/>
      <c r="O8" s="5"/>
      <c r="P8" s="5"/>
      <c r="Q8" s="5"/>
      <c r="R8" s="5"/>
      <c r="S8" s="5"/>
      <c r="T8" s="5"/>
      <c r="U8" s="5"/>
      <c r="V8" s="5"/>
      <c r="W8" s="5"/>
      <c r="X8" s="5"/>
      <c r="Y8" s="5"/>
    </row>
    <row r="9">
      <c r="A9" s="25">
        <v>0.0</v>
      </c>
      <c r="B9" s="25">
        <v>1.0</v>
      </c>
      <c r="C9" s="25">
        <v>0.0</v>
      </c>
      <c r="D9" s="25">
        <v>1.0</v>
      </c>
      <c r="E9" s="25">
        <v>1.0</v>
      </c>
      <c r="F9" s="25">
        <v>0.0</v>
      </c>
      <c r="G9" s="25">
        <v>0.0</v>
      </c>
      <c r="H9" s="25">
        <v>0.0</v>
      </c>
      <c r="I9" s="25">
        <v>0.0</v>
      </c>
      <c r="L9" s="5"/>
      <c r="M9" s="5"/>
      <c r="N9" s="5"/>
      <c r="O9" s="5"/>
      <c r="P9" s="5"/>
      <c r="Q9" s="5"/>
      <c r="R9" s="5"/>
      <c r="S9" s="5"/>
      <c r="T9" s="5"/>
      <c r="U9" s="5"/>
      <c r="V9" s="5"/>
      <c r="W9" s="5"/>
      <c r="X9" s="5"/>
      <c r="Y9" s="5"/>
    </row>
    <row r="10">
      <c r="A10" s="25">
        <v>0.0</v>
      </c>
      <c r="B10" s="25">
        <v>1.0</v>
      </c>
      <c r="C10" s="25">
        <v>1.0</v>
      </c>
      <c r="D10" s="25">
        <v>0.0</v>
      </c>
      <c r="E10" s="25">
        <v>0.0</v>
      </c>
      <c r="F10" s="25">
        <v>0.0</v>
      </c>
      <c r="G10" s="25">
        <v>0.0</v>
      </c>
      <c r="H10" s="25">
        <v>0.0</v>
      </c>
      <c r="I10" s="25">
        <v>1.0</v>
      </c>
      <c r="L10" s="5"/>
      <c r="M10" s="5"/>
      <c r="N10" s="5"/>
      <c r="O10" s="5"/>
      <c r="P10" s="5"/>
      <c r="Q10" s="5"/>
      <c r="R10" s="5"/>
      <c r="S10" s="5"/>
      <c r="T10" s="5"/>
      <c r="U10" s="5"/>
      <c r="V10" s="5"/>
      <c r="W10" s="5"/>
      <c r="X10" s="5"/>
      <c r="Y10" s="5"/>
    </row>
    <row r="11">
      <c r="A11" s="25">
        <v>1.0</v>
      </c>
      <c r="B11" s="25">
        <v>0.0</v>
      </c>
      <c r="C11" s="25">
        <v>0.0</v>
      </c>
      <c r="D11" s="25">
        <v>0.0</v>
      </c>
      <c r="E11" s="25">
        <v>1.0</v>
      </c>
      <c r="F11" s="25">
        <v>0.0</v>
      </c>
      <c r="G11" s="25">
        <v>0.0</v>
      </c>
      <c r="H11" s="25">
        <v>0.0</v>
      </c>
      <c r="I11" s="25">
        <v>0.0</v>
      </c>
      <c r="L11" s="5"/>
      <c r="M11" s="5"/>
      <c r="N11" s="5"/>
      <c r="O11" s="5"/>
      <c r="P11" s="5"/>
      <c r="Q11" s="5"/>
      <c r="R11" s="5"/>
      <c r="S11" s="5"/>
      <c r="T11" s="5"/>
      <c r="U11" s="5"/>
      <c r="V11" s="5"/>
      <c r="W11" s="5"/>
      <c r="X11" s="5"/>
      <c r="Y11" s="5"/>
    </row>
    <row r="12">
      <c r="A12" s="25">
        <v>0.0</v>
      </c>
      <c r="B12" s="25">
        <v>0.0</v>
      </c>
      <c r="C12" s="25">
        <v>0.0</v>
      </c>
      <c r="D12" s="25">
        <v>1.0</v>
      </c>
      <c r="E12" s="25">
        <v>0.0</v>
      </c>
      <c r="F12" s="25">
        <v>0.0</v>
      </c>
      <c r="G12" s="25">
        <v>1.0</v>
      </c>
      <c r="H12" s="25">
        <v>0.0</v>
      </c>
      <c r="I12" s="25">
        <v>0.0</v>
      </c>
      <c r="L12" s="5"/>
      <c r="M12" s="5"/>
      <c r="N12" s="5"/>
      <c r="O12" s="5"/>
      <c r="P12" s="5"/>
      <c r="Q12" s="5"/>
      <c r="R12" s="5"/>
      <c r="S12" s="5"/>
      <c r="T12" s="5"/>
      <c r="U12" s="5"/>
      <c r="V12" s="5"/>
      <c r="W12" s="5"/>
      <c r="X12" s="5"/>
      <c r="Y12" s="5"/>
    </row>
    <row r="13">
      <c r="A13" s="25">
        <v>1.0</v>
      </c>
      <c r="B13" s="25">
        <v>0.0</v>
      </c>
      <c r="C13" s="25">
        <v>0.0</v>
      </c>
      <c r="D13" s="25">
        <v>1.0</v>
      </c>
      <c r="E13" s="25">
        <v>0.0</v>
      </c>
      <c r="F13" s="25">
        <v>1.0</v>
      </c>
      <c r="G13" s="25">
        <v>0.0</v>
      </c>
      <c r="H13" s="25">
        <v>1.0</v>
      </c>
      <c r="I13" s="25">
        <v>0.0</v>
      </c>
      <c r="L13" s="5"/>
      <c r="M13" s="5"/>
      <c r="N13" s="5"/>
      <c r="O13" s="5"/>
      <c r="P13" s="5"/>
      <c r="Q13" s="5"/>
      <c r="R13" s="5"/>
      <c r="S13" s="5"/>
      <c r="T13" s="5"/>
      <c r="U13" s="5"/>
      <c r="V13" s="5"/>
      <c r="W13" s="5"/>
      <c r="X13" s="5"/>
      <c r="Y13" s="5"/>
    </row>
    <row r="14">
      <c r="A14" s="25">
        <v>1.0</v>
      </c>
      <c r="B14" s="25">
        <v>0.0</v>
      </c>
      <c r="C14" s="25">
        <v>0.0</v>
      </c>
      <c r="D14" s="25">
        <v>1.0</v>
      </c>
      <c r="E14" s="25">
        <v>0.0</v>
      </c>
      <c r="F14" s="25">
        <v>0.0</v>
      </c>
      <c r="G14" s="25">
        <v>0.0</v>
      </c>
      <c r="H14" s="25">
        <v>0.0</v>
      </c>
      <c r="I14" s="25">
        <v>1.0</v>
      </c>
      <c r="L14" s="5"/>
      <c r="M14" s="5"/>
      <c r="N14" s="5"/>
      <c r="O14" s="5"/>
      <c r="P14" s="5"/>
      <c r="Q14" s="5"/>
      <c r="R14" s="2"/>
      <c r="S14" s="5"/>
      <c r="T14" s="5"/>
      <c r="U14" s="5"/>
      <c r="V14" s="5"/>
      <c r="W14" s="5"/>
      <c r="X14" s="5"/>
      <c r="Y14" s="5"/>
    </row>
    <row r="15">
      <c r="A15" s="25">
        <v>0.0</v>
      </c>
      <c r="B15" s="25">
        <v>0.0</v>
      </c>
      <c r="C15" s="25">
        <v>1.0</v>
      </c>
      <c r="D15" s="25">
        <v>0.0</v>
      </c>
      <c r="E15" s="25">
        <v>1.0</v>
      </c>
      <c r="F15" s="25">
        <v>1.0</v>
      </c>
      <c r="G15" s="25">
        <v>0.0</v>
      </c>
      <c r="H15" s="25">
        <v>0.0</v>
      </c>
      <c r="I15" s="25">
        <v>0.0</v>
      </c>
      <c r="L15" s="5"/>
      <c r="M15" s="5"/>
      <c r="N15" s="5"/>
      <c r="O15" s="5"/>
      <c r="P15" s="5"/>
      <c r="Q15" s="5"/>
      <c r="R15" s="5"/>
      <c r="S15" s="5"/>
      <c r="T15" s="5"/>
      <c r="U15" s="5"/>
      <c r="V15" s="5"/>
      <c r="W15" s="5"/>
      <c r="X15" s="5"/>
      <c r="Y15" s="5"/>
    </row>
    <row r="16">
      <c r="A16" s="25">
        <v>0.0</v>
      </c>
      <c r="B16" s="25">
        <v>0.0</v>
      </c>
      <c r="C16" s="25">
        <v>0.0</v>
      </c>
      <c r="D16" s="25">
        <v>1.0</v>
      </c>
      <c r="E16" s="25">
        <v>1.0</v>
      </c>
      <c r="F16" s="25">
        <v>1.0</v>
      </c>
      <c r="G16" s="25">
        <v>0.0</v>
      </c>
      <c r="H16" s="25">
        <v>0.0</v>
      </c>
      <c r="I16" s="25">
        <v>1.0</v>
      </c>
      <c r="L16" s="5"/>
      <c r="M16" s="5"/>
      <c r="N16" s="5"/>
      <c r="O16" s="5"/>
      <c r="P16" s="5"/>
      <c r="Q16" s="5"/>
      <c r="R16" s="5"/>
      <c r="S16" s="5"/>
      <c r="T16" s="5"/>
      <c r="U16" s="5"/>
      <c r="V16" s="5"/>
      <c r="W16" s="5"/>
      <c r="X16" s="5"/>
      <c r="Y16" s="5"/>
    </row>
    <row r="17"/>
    <row r="18"/>
    <row r="19"/>
    <row r="20"/>
    <row r="21">
      <c r="A21" s="17" t="s">
        <v>131</v>
      </c>
      <c r="B21" s="17"/>
      <c r="C21" s="17"/>
      <c r="D21" s="17"/>
      <c r="E21" s="17"/>
      <c r="F21" s="17"/>
      <c r="G21" s="2"/>
      <c r="H21" s="2"/>
      <c r="I21" s="2"/>
      <c r="J21" s="2"/>
    </row>
    <row r="22">
      <c r="A22" s="5" t="s">
        <v>115</v>
      </c>
      <c r="B22" s="5" t="s">
        <v>116</v>
      </c>
      <c r="C22" s="5" t="s">
        <v>117</v>
      </c>
      <c r="D22" s="5" t="s">
        <v>118</v>
      </c>
      <c r="E22" s="5" t="s">
        <v>119</v>
      </c>
      <c r="F22" s="5" t="s">
        <v>120</v>
      </c>
      <c r="G22" s="5" t="s">
        <v>121</v>
      </c>
      <c r="H22" s="5" t="s">
        <v>122</v>
      </c>
      <c r="I22" s="5" t="s">
        <v>123</v>
      </c>
      <c r="J22" s="5" t="s">
        <v>124</v>
      </c>
    </row>
    <row r="23">
      <c r="A23" s="5">
        <v>2.0</v>
      </c>
      <c r="B23" s="5">
        <v>2.0</v>
      </c>
      <c r="C23" s="5">
        <v>4.0</v>
      </c>
      <c r="D23" s="5">
        <v>1.0</v>
      </c>
      <c r="E23" s="5">
        <v>4.0</v>
      </c>
      <c r="F23" s="5">
        <v>4.0</v>
      </c>
      <c r="G23" s="5">
        <v>4.0</v>
      </c>
      <c r="H23" s="5">
        <v>2.0</v>
      </c>
      <c r="I23" s="5">
        <v>3.0</v>
      </c>
      <c r="J23" s="5">
        <v>1.0</v>
      </c>
    </row>
    <row r="24">
      <c r="A24" s="5">
        <v>3.0</v>
      </c>
      <c r="B24" s="5">
        <v>3.0</v>
      </c>
      <c r="C24" s="5">
        <v>3.0</v>
      </c>
      <c r="D24" s="5">
        <v>4.0</v>
      </c>
      <c r="E24" s="5">
        <v>5.0</v>
      </c>
      <c r="F24" s="5">
        <v>6.0</v>
      </c>
      <c r="G24" s="5">
        <v>6.0</v>
      </c>
      <c r="H24" s="5">
        <v>4.0</v>
      </c>
      <c r="I24" s="5">
        <v>5.0</v>
      </c>
      <c r="J24" s="5">
        <v>5.0</v>
      </c>
    </row>
    <row r="25">
      <c r="A25" s="5">
        <v>7.0</v>
      </c>
      <c r="B25" s="5">
        <v>4.0</v>
      </c>
      <c r="C25" s="5">
        <v>6.0</v>
      </c>
      <c r="D25" s="5">
        <v>3.0</v>
      </c>
      <c r="E25" s="5">
        <v>6.0</v>
      </c>
      <c r="F25" s="5">
        <v>6.0</v>
      </c>
      <c r="G25" s="5">
        <v>7.0</v>
      </c>
      <c r="H25" s="5">
        <v>4.0</v>
      </c>
      <c r="I25" s="5">
        <v>6.0</v>
      </c>
      <c r="J25" s="5">
        <v>7.0</v>
      </c>
    </row>
    <row r="26">
      <c r="A26" s="5">
        <v>1.0</v>
      </c>
      <c r="B26" s="5">
        <v>3.0</v>
      </c>
      <c r="C26" s="5">
        <v>2.0</v>
      </c>
      <c r="D26" s="5">
        <v>1.0</v>
      </c>
      <c r="E26" s="5">
        <v>5.0</v>
      </c>
      <c r="F26" s="5">
        <v>5.0</v>
      </c>
      <c r="G26" s="5">
        <v>6.0</v>
      </c>
      <c r="H26" s="5">
        <v>3.0</v>
      </c>
      <c r="I26" s="5">
        <v>4.0</v>
      </c>
      <c r="J26" s="5">
        <v>2.0</v>
      </c>
    </row>
    <row r="27">
      <c r="A27" s="5">
        <v>5.0</v>
      </c>
      <c r="B27" s="5">
        <v>4.0</v>
      </c>
      <c r="C27" s="5">
        <v>4.0</v>
      </c>
      <c r="D27" s="5">
        <v>7.0</v>
      </c>
      <c r="E27" s="5">
        <v>6.0</v>
      </c>
      <c r="F27" s="5">
        <v>5.0</v>
      </c>
      <c r="G27" s="5">
        <v>4.0</v>
      </c>
      <c r="H27" s="5">
        <v>5.0</v>
      </c>
      <c r="I27" s="5">
        <v>7.0</v>
      </c>
      <c r="J27" s="5">
        <v>7.0</v>
      </c>
    </row>
    <row r="28">
      <c r="A28" s="5">
        <v>4.0</v>
      </c>
      <c r="B28" s="5">
        <v>4.0</v>
      </c>
      <c r="C28" s="5">
        <v>3.0</v>
      </c>
      <c r="D28" s="5">
        <v>3.0</v>
      </c>
      <c r="E28" s="5">
        <v>3.0</v>
      </c>
      <c r="F28" s="5">
        <v>4.0</v>
      </c>
      <c r="G28" s="5">
        <v>5.0</v>
      </c>
      <c r="H28" s="5">
        <v>4.0</v>
      </c>
      <c r="I28" s="5">
        <v>3.0</v>
      </c>
      <c r="J28" s="5">
        <v>1.0</v>
      </c>
    </row>
    <row r="29">
      <c r="A29" s="5">
        <v>3.0</v>
      </c>
      <c r="B29" s="5">
        <v>4.0</v>
      </c>
      <c r="C29" s="5">
        <v>5.0</v>
      </c>
      <c r="D29" s="5">
        <v>5.0</v>
      </c>
      <c r="E29" s="5">
        <v>3.0</v>
      </c>
      <c r="F29" s="5">
        <v>6.0</v>
      </c>
      <c r="G29" s="5">
        <v>7.0</v>
      </c>
      <c r="H29" s="5">
        <v>5.0</v>
      </c>
      <c r="I29" s="5">
        <v>5.0</v>
      </c>
      <c r="J29" s="5">
        <v>2.0</v>
      </c>
    </row>
    <row r="30">
      <c r="A30" s="5">
        <v>3.0</v>
      </c>
      <c r="B30" s="5">
        <v>3.0</v>
      </c>
      <c r="C30" s="5">
        <v>3.0</v>
      </c>
      <c r="D30" s="5">
        <v>3.0</v>
      </c>
      <c r="E30" s="5">
        <v>5.0</v>
      </c>
      <c r="F30" s="5">
        <v>4.0</v>
      </c>
      <c r="G30" s="5">
        <v>5.0</v>
      </c>
      <c r="H30" s="5">
        <v>4.0</v>
      </c>
      <c r="I30" s="5">
        <v>3.0</v>
      </c>
      <c r="J30" s="5">
        <v>2.0</v>
      </c>
    </row>
    <row r="31">
      <c r="A31" s="5">
        <v>2.0</v>
      </c>
      <c r="B31" s="5">
        <v>3.0</v>
      </c>
      <c r="C31" s="5">
        <v>6.0</v>
      </c>
      <c r="D31" s="5">
        <v>1.0</v>
      </c>
      <c r="E31" s="5">
        <v>4.0</v>
      </c>
      <c r="F31" s="5">
        <v>6.0</v>
      </c>
      <c r="G31" s="5">
        <v>4.0</v>
      </c>
      <c r="H31" s="5">
        <v>3.0</v>
      </c>
      <c r="I31" s="5">
        <v>4.0</v>
      </c>
      <c r="J31" s="5">
        <v>4.0</v>
      </c>
    </row>
    <row r="32">
      <c r="A32" s="5">
        <v>3.0</v>
      </c>
      <c r="B32" s="5">
        <v>4.0</v>
      </c>
      <c r="C32" s="5">
        <v>3.0</v>
      </c>
      <c r="D32" s="5">
        <v>5.0</v>
      </c>
      <c r="E32" s="5">
        <v>5.0</v>
      </c>
      <c r="F32" s="5">
        <v>5.0</v>
      </c>
      <c r="G32" s="5">
        <v>5.0</v>
      </c>
      <c r="H32" s="5">
        <v>5.0</v>
      </c>
      <c r="I32" s="5">
        <v>4.0</v>
      </c>
      <c r="J32" s="5">
        <v>3.0</v>
      </c>
    </row>
    <row r="33">
      <c r="A33" s="5">
        <v>7.0</v>
      </c>
      <c r="B33" s="5">
        <v>4.0</v>
      </c>
      <c r="C33" s="5">
        <v>4.0</v>
      </c>
      <c r="D33" s="5">
        <v>5.0</v>
      </c>
      <c r="E33" s="5">
        <v>6.0</v>
      </c>
      <c r="F33" s="5">
        <v>6.0</v>
      </c>
      <c r="G33" s="5">
        <v>5.0</v>
      </c>
      <c r="H33" s="5">
        <v>5.0</v>
      </c>
      <c r="I33" s="5">
        <v>5.0</v>
      </c>
      <c r="J33" s="5">
        <v>3.0</v>
      </c>
    </row>
    <row r="34">
      <c r="A34" s="5">
        <v>5.0</v>
      </c>
      <c r="B34" s="5">
        <v>2.0</v>
      </c>
      <c r="C34" s="5">
        <v>5.0</v>
      </c>
      <c r="D34" s="5">
        <v>3.0</v>
      </c>
      <c r="E34" s="5">
        <v>5.0</v>
      </c>
      <c r="F34" s="5">
        <v>6.0</v>
      </c>
      <c r="G34" s="5">
        <v>4.0</v>
      </c>
      <c r="H34" s="5">
        <v>5.0</v>
      </c>
      <c r="I34" s="5">
        <v>5.0</v>
      </c>
      <c r="J34" s="5">
        <v>3.0</v>
      </c>
    </row>
    <row r="35">
      <c r="A35" s="5">
        <v>4.0</v>
      </c>
      <c r="B35" s="5">
        <v>3.0</v>
      </c>
      <c r="C35" s="5">
        <v>6.0</v>
      </c>
      <c r="D35" s="5">
        <v>1.0</v>
      </c>
      <c r="E35" s="5">
        <v>6.0</v>
      </c>
      <c r="F35" s="5">
        <v>6.0</v>
      </c>
      <c r="G35" s="5">
        <v>5.0</v>
      </c>
      <c r="H35" s="5">
        <v>3.0</v>
      </c>
      <c r="I35" s="5">
        <v>4.0</v>
      </c>
      <c r="J35" s="5">
        <v>3.0</v>
      </c>
    </row>
    <row r="36">
      <c r="A36" s="5">
        <v>3.0</v>
      </c>
      <c r="B36" s="5">
        <v>3.0</v>
      </c>
      <c r="C36" s="5">
        <v>3.0</v>
      </c>
      <c r="D36" s="5">
        <v>7.0</v>
      </c>
      <c r="E36" s="5">
        <v>6.0</v>
      </c>
      <c r="F36" s="5">
        <v>5.0</v>
      </c>
      <c r="G36" s="5">
        <v>5.0</v>
      </c>
      <c r="H36" s="5">
        <v>5.0</v>
      </c>
      <c r="I36" s="5">
        <v>6.0</v>
      </c>
      <c r="J36" s="5">
        <v>4.0</v>
      </c>
    </row>
    <row r="37">
      <c r="A37" s="5">
        <v>4.0</v>
      </c>
      <c r="B37" s="5">
        <v>1.0</v>
      </c>
      <c r="C37" s="5">
        <v>2.0</v>
      </c>
      <c r="D37" s="5">
        <v>3.0</v>
      </c>
      <c r="E37" s="5">
        <v>5.0</v>
      </c>
      <c r="F37" s="5">
        <v>6.0</v>
      </c>
      <c r="G37" s="5">
        <v>3.0</v>
      </c>
      <c r="H37" s="5">
        <v>4.0</v>
      </c>
      <c r="I37" s="5">
        <v>6.0</v>
      </c>
      <c r="J37" s="5">
        <v>5.0</v>
      </c>
    </row>
    <row r="46">
      <c r="A46" s="32"/>
      <c r="B46" s="32"/>
      <c r="C46" s="32"/>
    </row>
    <row r="47">
      <c r="A47" s="32"/>
      <c r="B47" s="32"/>
      <c r="C47" s="32"/>
    </row>
    <row r="48">
      <c r="A48" s="32"/>
      <c r="B48" s="32"/>
      <c r="C48" s="32"/>
    </row>
  </sheetData>
  <printOptions/>
  <pageMargins bottom="1.0" footer="0.0" header="0.0" left="0.75" right="0.75" top="1.0"/>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38"/>
    <col customWidth="1" min="2" max="2" width="9.38"/>
    <col customWidth="1" min="3" max="3" width="27.88"/>
    <col customWidth="1" min="4" max="4" width="13.0"/>
    <col customWidth="1" min="5" max="5" width="11.5"/>
    <col customWidth="1" min="6" max="6" width="15.88"/>
    <col customWidth="1" min="7" max="7" width="5.5"/>
    <col customWidth="1" min="8" max="9" width="4.63"/>
    <col customWidth="1" min="10" max="10" width="6.13"/>
    <col customWidth="1" min="11" max="24" width="8.88"/>
    <col customWidth="1" min="25" max="25" width="16.38"/>
    <col customWidth="1" min="26" max="26" width="32.0"/>
    <col customWidth="1" min="27" max="27" width="8.88"/>
    <col customWidth="1" min="28" max="28" width="32.0"/>
  </cols>
  <sheetData>
    <row r="1">
      <c r="A1" s="33" t="s">
        <v>153</v>
      </c>
    </row>
    <row r="2"/>
    <row r="3"/>
    <row r="4">
      <c r="A4" s="34" t="s">
        <v>154</v>
      </c>
    </row>
    <row r="5"/>
    <row r="6"/>
    <row r="7">
      <c r="A7" s="22">
        <v>50.0</v>
      </c>
      <c r="B7" s="22">
        <v>100.0</v>
      </c>
      <c r="C7" s="23" t="s">
        <v>138</v>
      </c>
      <c r="D7" s="23" t="s">
        <v>139</v>
      </c>
      <c r="E7" s="22" t="s">
        <v>140</v>
      </c>
      <c r="F7" s="2" t="s">
        <v>141</v>
      </c>
      <c r="G7" s="2" t="s">
        <v>142</v>
      </c>
      <c r="H7" s="24">
        <v>0.2</v>
      </c>
      <c r="I7" s="24">
        <v>0.25</v>
      </c>
      <c r="J7" s="5" t="s">
        <v>115</v>
      </c>
      <c r="M7" s="25" t="s">
        <v>155</v>
      </c>
      <c r="Y7" s="35"/>
      <c r="Z7" s="36" t="s">
        <v>156</v>
      </c>
      <c r="AA7" s="37"/>
    </row>
    <row r="8">
      <c r="A8" s="25">
        <v>0.0</v>
      </c>
      <c r="B8" s="25">
        <v>1.0</v>
      </c>
      <c r="C8" s="25">
        <v>0.0</v>
      </c>
      <c r="D8" s="25">
        <v>0.0</v>
      </c>
      <c r="E8" s="25">
        <v>1.0</v>
      </c>
      <c r="F8" s="25">
        <v>1.0</v>
      </c>
      <c r="G8" s="25">
        <v>0.0</v>
      </c>
      <c r="H8" s="25">
        <v>0.0</v>
      </c>
      <c r="I8" s="25">
        <v>1.0</v>
      </c>
      <c r="J8" s="5">
        <v>2.0</v>
      </c>
      <c r="Y8" s="38" t="s">
        <v>157</v>
      </c>
      <c r="Z8" s="39"/>
      <c r="AA8" s="40">
        <f>N23</f>
        <v>5.86637931</v>
      </c>
      <c r="AB8" s="41" t="s">
        <v>158</v>
      </c>
    </row>
    <row r="9">
      <c r="A9" s="25">
        <v>0.0</v>
      </c>
      <c r="B9" s="25">
        <v>0.0</v>
      </c>
      <c r="C9" s="25">
        <v>1.0</v>
      </c>
      <c r="D9" s="25">
        <v>0.0</v>
      </c>
      <c r="E9" s="25">
        <v>0.0</v>
      </c>
      <c r="F9" s="25">
        <v>0.0</v>
      </c>
      <c r="G9" s="25">
        <v>0.0</v>
      </c>
      <c r="H9" s="25">
        <v>1.0</v>
      </c>
      <c r="I9" s="25">
        <v>0.0</v>
      </c>
      <c r="J9" s="5">
        <v>3.0</v>
      </c>
      <c r="M9" s="42" t="s">
        <v>159</v>
      </c>
      <c r="N9" s="43"/>
      <c r="Y9" s="44" t="s">
        <v>145</v>
      </c>
      <c r="Z9" s="45">
        <v>0.0</v>
      </c>
      <c r="AA9" s="46">
        <v>0.0</v>
      </c>
      <c r="AB9" s="47">
        <f>IF(AA9=MAX(AA9:AA11),Z9,IF(AA10=MAX(AA9:AA11),Z10,Z11))</f>
        <v>0</v>
      </c>
    </row>
    <row r="10">
      <c r="A10" s="25">
        <v>0.0</v>
      </c>
      <c r="B10" s="25">
        <v>0.0</v>
      </c>
      <c r="C10" s="25">
        <v>0.0</v>
      </c>
      <c r="D10" s="25">
        <v>0.0</v>
      </c>
      <c r="E10" s="25">
        <v>0.0</v>
      </c>
      <c r="F10" s="25">
        <v>0.0</v>
      </c>
      <c r="G10" s="25">
        <v>1.0</v>
      </c>
      <c r="H10" s="25">
        <v>0.0</v>
      </c>
      <c r="I10" s="25">
        <v>1.0</v>
      </c>
      <c r="J10" s="5">
        <v>7.0</v>
      </c>
      <c r="M10" s="25" t="s">
        <v>160</v>
      </c>
      <c r="N10" s="25">
        <v>0.961453827740928</v>
      </c>
      <c r="Y10" s="48"/>
      <c r="Z10" s="49">
        <v>50.0</v>
      </c>
      <c r="AA10" s="50">
        <f t="shared" ref="AA10:AA11" si="1">N24</f>
        <v>-1.681034483</v>
      </c>
      <c r="AB10" s="51"/>
    </row>
    <row r="11">
      <c r="A11" s="25">
        <v>1.0</v>
      </c>
      <c r="B11" s="25">
        <v>0.0</v>
      </c>
      <c r="C11" s="25">
        <v>1.0</v>
      </c>
      <c r="D11" s="25">
        <v>0.0</v>
      </c>
      <c r="E11" s="25">
        <v>1.0</v>
      </c>
      <c r="F11" s="25">
        <v>0.0</v>
      </c>
      <c r="G11" s="25">
        <v>1.0</v>
      </c>
      <c r="H11" s="25">
        <v>0.0</v>
      </c>
      <c r="I11" s="25">
        <v>1.0</v>
      </c>
      <c r="J11" s="5">
        <v>1.0</v>
      </c>
      <c r="M11" s="25" t="s">
        <v>161</v>
      </c>
      <c r="N11" s="25">
        <v>0.924393462877682</v>
      </c>
      <c r="Y11" s="52"/>
      <c r="Z11" s="53">
        <v>100.0</v>
      </c>
      <c r="AA11" s="54">
        <f t="shared" si="1"/>
        <v>-2.043103448</v>
      </c>
      <c r="AB11" s="51"/>
    </row>
    <row r="12">
      <c r="A12" s="25">
        <v>0.0</v>
      </c>
      <c r="B12" s="25">
        <v>0.0</v>
      </c>
      <c r="C12" s="25">
        <v>0.0</v>
      </c>
      <c r="D12" s="25">
        <v>0.0</v>
      </c>
      <c r="E12" s="25">
        <v>1.0</v>
      </c>
      <c r="F12" s="25">
        <v>0.0</v>
      </c>
      <c r="G12" s="25">
        <v>0.0</v>
      </c>
      <c r="H12" s="25">
        <v>1.0</v>
      </c>
      <c r="I12" s="25">
        <v>0.0</v>
      </c>
      <c r="J12" s="5">
        <v>5.0</v>
      </c>
      <c r="M12" s="25" t="s">
        <v>162</v>
      </c>
      <c r="N12" s="25">
        <v>0.788301696057509</v>
      </c>
      <c r="Y12" s="55" t="s">
        <v>146</v>
      </c>
      <c r="Z12" s="32" t="s">
        <v>147</v>
      </c>
      <c r="AA12" s="50">
        <v>0.0</v>
      </c>
      <c r="AB12" s="56" t="str">
        <f>IF(AA12=MAX(AA12:AA14),Z12,IF(AA13=MAX(AA12:AA14),Z13,Z14))</f>
        <v>Rent Cashback (1%)</v>
      </c>
    </row>
    <row r="13">
      <c r="A13" s="25">
        <v>0.0</v>
      </c>
      <c r="B13" s="25">
        <v>1.0</v>
      </c>
      <c r="C13" s="25">
        <v>0.0</v>
      </c>
      <c r="D13" s="25">
        <v>1.0</v>
      </c>
      <c r="E13" s="25">
        <v>1.0</v>
      </c>
      <c r="F13" s="25">
        <v>0.0</v>
      </c>
      <c r="G13" s="25">
        <v>1.0</v>
      </c>
      <c r="H13" s="25">
        <v>1.0</v>
      </c>
      <c r="I13" s="25">
        <v>0.0</v>
      </c>
      <c r="J13" s="5">
        <v>4.0</v>
      </c>
      <c r="M13" s="25" t="s">
        <v>163</v>
      </c>
      <c r="N13" s="25">
        <v>0.786743615952096</v>
      </c>
      <c r="Y13" s="48"/>
      <c r="Z13" s="32" t="s">
        <v>164</v>
      </c>
      <c r="AA13" s="50">
        <f t="shared" ref="AA13:AA14" si="2">N26</f>
        <v>-2.137931034</v>
      </c>
      <c r="AB13" s="51"/>
    </row>
    <row r="14">
      <c r="A14" s="25">
        <v>0.0</v>
      </c>
      <c r="B14" s="25">
        <v>1.0</v>
      </c>
      <c r="C14" s="25">
        <v>0.0</v>
      </c>
      <c r="D14" s="25">
        <v>0.0</v>
      </c>
      <c r="E14" s="25">
        <v>0.0</v>
      </c>
      <c r="F14" s="25">
        <v>1.0</v>
      </c>
      <c r="G14" s="25">
        <v>0.0</v>
      </c>
      <c r="H14" s="25">
        <v>0.0</v>
      </c>
      <c r="I14" s="25">
        <v>0.0</v>
      </c>
      <c r="J14" s="5">
        <v>3.0</v>
      </c>
      <c r="M14" s="57" t="s">
        <v>165</v>
      </c>
      <c r="N14" s="57">
        <v>15.0</v>
      </c>
      <c r="Y14" s="52"/>
      <c r="Z14" s="58" t="s">
        <v>166</v>
      </c>
      <c r="AA14" s="54">
        <f t="shared" si="2"/>
        <v>0.2931034483</v>
      </c>
      <c r="AB14" s="59"/>
    </row>
    <row r="15">
      <c r="A15" s="25">
        <v>0.0</v>
      </c>
      <c r="B15" s="25">
        <v>1.0</v>
      </c>
      <c r="C15" s="25">
        <v>0.0</v>
      </c>
      <c r="D15" s="25">
        <v>1.0</v>
      </c>
      <c r="E15" s="25">
        <v>1.0</v>
      </c>
      <c r="F15" s="25">
        <v>0.0</v>
      </c>
      <c r="G15" s="25">
        <v>0.0</v>
      </c>
      <c r="H15" s="25">
        <v>0.0</v>
      </c>
      <c r="I15" s="25">
        <v>0.0</v>
      </c>
      <c r="J15" s="5">
        <v>3.0</v>
      </c>
      <c r="Y15" s="44" t="s">
        <v>148</v>
      </c>
      <c r="Z15" s="60" t="s">
        <v>149</v>
      </c>
      <c r="AA15" s="46">
        <v>0.0</v>
      </c>
      <c r="AB15" s="61" t="str">
        <f>IF(AA15=MAX(AA15:AA16),Z15,Z16)</f>
        <v>Yes</v>
      </c>
    </row>
    <row r="16">
      <c r="A16" s="25">
        <v>0.0</v>
      </c>
      <c r="B16" s="25">
        <v>1.0</v>
      </c>
      <c r="C16" s="25">
        <v>1.0</v>
      </c>
      <c r="D16" s="25">
        <v>0.0</v>
      </c>
      <c r="E16" s="25">
        <v>0.0</v>
      </c>
      <c r="F16" s="25">
        <v>0.0</v>
      </c>
      <c r="G16" s="25">
        <v>0.0</v>
      </c>
      <c r="H16" s="25">
        <v>0.0</v>
      </c>
      <c r="I16" s="25">
        <v>1.0</v>
      </c>
      <c r="J16" s="5">
        <v>2.0</v>
      </c>
      <c r="M16" s="25" t="s">
        <v>167</v>
      </c>
      <c r="Y16" s="52"/>
      <c r="Z16" s="58" t="s">
        <v>140</v>
      </c>
      <c r="AA16" s="54">
        <f>N28</f>
        <v>-1.206896552</v>
      </c>
      <c r="AB16" s="59"/>
    </row>
    <row r="17">
      <c r="A17" s="25">
        <v>1.0</v>
      </c>
      <c r="B17" s="25">
        <v>0.0</v>
      </c>
      <c r="C17" s="25">
        <v>0.0</v>
      </c>
      <c r="D17" s="25">
        <v>0.0</v>
      </c>
      <c r="E17" s="25">
        <v>1.0</v>
      </c>
      <c r="F17" s="25">
        <v>0.0</v>
      </c>
      <c r="G17" s="25">
        <v>0.0</v>
      </c>
      <c r="H17" s="25">
        <v>0.0</v>
      </c>
      <c r="I17" s="25">
        <v>0.0</v>
      </c>
      <c r="J17" s="5">
        <v>3.0</v>
      </c>
      <c r="M17" s="42"/>
      <c r="N17" s="42" t="s">
        <v>168</v>
      </c>
      <c r="O17" s="42" t="s">
        <v>169</v>
      </c>
      <c r="P17" s="42" t="s">
        <v>170</v>
      </c>
      <c r="Q17" s="42" t="s">
        <v>171</v>
      </c>
      <c r="R17" s="42" t="s">
        <v>172</v>
      </c>
      <c r="Y17" s="44" t="s">
        <v>173</v>
      </c>
      <c r="Z17" s="62" t="s">
        <v>151</v>
      </c>
      <c r="AA17" s="46">
        <v>0.0</v>
      </c>
      <c r="AB17" s="56" t="str">
        <f>IF(AA17=MAX(AA17:AA19),Z17,IF(AA18=MAX(AA17:AA19),Z18,Z19))</f>
        <v>Amex</v>
      </c>
    </row>
    <row r="18">
      <c r="A18" s="25">
        <v>0.0</v>
      </c>
      <c r="B18" s="25">
        <v>0.0</v>
      </c>
      <c r="C18" s="25">
        <v>0.0</v>
      </c>
      <c r="D18" s="25">
        <v>1.0</v>
      </c>
      <c r="E18" s="25">
        <v>0.0</v>
      </c>
      <c r="F18" s="25">
        <v>0.0</v>
      </c>
      <c r="G18" s="25">
        <v>1.0</v>
      </c>
      <c r="H18" s="25">
        <v>0.0</v>
      </c>
      <c r="I18" s="25">
        <v>0.0</v>
      </c>
      <c r="J18" s="5">
        <v>7.0</v>
      </c>
      <c r="M18" s="25" t="s">
        <v>174</v>
      </c>
      <c r="N18" s="25">
        <v>9.0</v>
      </c>
      <c r="O18" s="25">
        <v>37.8385057471264</v>
      </c>
      <c r="P18" s="25">
        <v>4.20427841634738</v>
      </c>
      <c r="Q18" s="25">
        <v>6.79242752501805</v>
      </c>
      <c r="R18" s="25">
        <v>0.0241365615181876</v>
      </c>
      <c r="Y18" s="48"/>
      <c r="Z18" s="23" t="s">
        <v>141</v>
      </c>
      <c r="AA18" s="50">
        <f t="shared" ref="AA18:AA19" si="3">N29</f>
        <v>-0.1681034483</v>
      </c>
      <c r="AB18" s="51"/>
    </row>
    <row r="19">
      <c r="A19" s="25">
        <v>1.0</v>
      </c>
      <c r="B19" s="25">
        <v>0.0</v>
      </c>
      <c r="C19" s="25">
        <v>0.0</v>
      </c>
      <c r="D19" s="25">
        <v>1.0</v>
      </c>
      <c r="E19" s="25">
        <v>0.0</v>
      </c>
      <c r="F19" s="25">
        <v>1.0</v>
      </c>
      <c r="G19" s="25">
        <v>0.0</v>
      </c>
      <c r="H19" s="25">
        <v>1.0</v>
      </c>
      <c r="I19" s="25">
        <v>0.0</v>
      </c>
      <c r="J19" s="5">
        <v>5.0</v>
      </c>
      <c r="M19" s="25" t="s">
        <v>175</v>
      </c>
      <c r="N19" s="25">
        <v>5.0</v>
      </c>
      <c r="O19" s="25">
        <v>3.0948275862069</v>
      </c>
      <c r="P19" s="25">
        <v>0.61896551724138</v>
      </c>
      <c r="Y19" s="52"/>
      <c r="Z19" s="58" t="s">
        <v>142</v>
      </c>
      <c r="AA19" s="54">
        <f t="shared" si="3"/>
        <v>0.9439655172</v>
      </c>
      <c r="AB19" s="59"/>
    </row>
    <row r="20">
      <c r="A20" s="25">
        <v>1.0</v>
      </c>
      <c r="B20" s="25">
        <v>0.0</v>
      </c>
      <c r="C20" s="25">
        <v>0.0</v>
      </c>
      <c r="D20" s="25">
        <v>1.0</v>
      </c>
      <c r="E20" s="25">
        <v>0.0</v>
      </c>
      <c r="F20" s="25">
        <v>0.0</v>
      </c>
      <c r="G20" s="25">
        <v>0.0</v>
      </c>
      <c r="H20" s="25">
        <v>0.0</v>
      </c>
      <c r="I20" s="25">
        <v>1.0</v>
      </c>
      <c r="J20" s="5">
        <v>4.0</v>
      </c>
      <c r="M20" s="57" t="s">
        <v>176</v>
      </c>
      <c r="N20" s="57">
        <v>14.0</v>
      </c>
      <c r="O20" s="57">
        <v>40.9333333333333</v>
      </c>
      <c r="P20" s="57"/>
      <c r="Q20" s="57"/>
      <c r="R20" s="57"/>
      <c r="Y20" s="44" t="s">
        <v>177</v>
      </c>
      <c r="Z20" s="63">
        <v>0.15</v>
      </c>
      <c r="AA20" s="46">
        <v>0.0</v>
      </c>
      <c r="AB20" s="64">
        <f>IF(AA20=MAX(AA20:AA22),Z20,IF(AA21=MAX(AA20:AA22),Z21,Z22))</f>
        <v>0.2</v>
      </c>
    </row>
    <row r="21">
      <c r="A21" s="25">
        <v>0.0</v>
      </c>
      <c r="B21" s="25">
        <v>0.0</v>
      </c>
      <c r="C21" s="25">
        <v>1.0</v>
      </c>
      <c r="D21" s="25">
        <v>0.0</v>
      </c>
      <c r="E21" s="25">
        <v>1.0</v>
      </c>
      <c r="F21" s="25">
        <v>1.0</v>
      </c>
      <c r="G21" s="25">
        <v>0.0</v>
      </c>
      <c r="H21" s="25">
        <v>0.0</v>
      </c>
      <c r="I21" s="25">
        <v>0.0</v>
      </c>
      <c r="J21" s="5">
        <v>3.0</v>
      </c>
      <c r="Y21" s="48"/>
      <c r="Z21" s="65">
        <v>0.2</v>
      </c>
      <c r="AA21" s="50">
        <f t="shared" ref="AA21:AA22" si="4">N31</f>
        <v>0.1120689655</v>
      </c>
      <c r="AB21" s="51"/>
    </row>
    <row r="22">
      <c r="A22" s="25">
        <v>0.0</v>
      </c>
      <c r="B22" s="25">
        <v>0.0</v>
      </c>
      <c r="C22" s="25">
        <v>0.0</v>
      </c>
      <c r="D22" s="25">
        <v>1.0</v>
      </c>
      <c r="E22" s="25">
        <v>1.0</v>
      </c>
      <c r="F22" s="25">
        <v>1.0</v>
      </c>
      <c r="G22" s="25">
        <v>0.0</v>
      </c>
      <c r="H22" s="25">
        <v>0.0</v>
      </c>
      <c r="I22" s="25">
        <v>1.0</v>
      </c>
      <c r="J22" s="5">
        <v>4.0</v>
      </c>
      <c r="M22" s="42"/>
      <c r="N22" s="42" t="s">
        <v>178</v>
      </c>
      <c r="O22" s="42" t="s">
        <v>163</v>
      </c>
      <c r="P22" s="42" t="s">
        <v>179</v>
      </c>
      <c r="Q22" s="42" t="s">
        <v>180</v>
      </c>
      <c r="R22" s="42" t="s">
        <v>181</v>
      </c>
      <c r="S22" s="42" t="s">
        <v>182</v>
      </c>
      <c r="T22" s="42" t="s">
        <v>183</v>
      </c>
      <c r="U22" s="42" t="s">
        <v>184</v>
      </c>
      <c r="Y22" s="52"/>
      <c r="Z22" s="66">
        <v>0.25</v>
      </c>
      <c r="AA22" s="54">
        <f t="shared" si="4"/>
        <v>-0.3318965517</v>
      </c>
      <c r="AB22" s="59"/>
    </row>
    <row r="23">
      <c r="M23" s="25" t="s">
        <v>157</v>
      </c>
      <c r="N23" s="25">
        <v>5.86637931034483</v>
      </c>
      <c r="O23" s="25">
        <v>0.629083961800687</v>
      </c>
      <c r="P23" s="25">
        <v>9.32527240648917</v>
      </c>
      <c r="Q23" s="25">
        <v>2.38738768870068E-4</v>
      </c>
      <c r="R23" s="25">
        <v>4.24926750504985</v>
      </c>
      <c r="S23" s="25">
        <v>7.4834911156398</v>
      </c>
      <c r="T23" s="25">
        <v>4.24926750504985</v>
      </c>
      <c r="U23" s="25">
        <v>7.4834911156398</v>
      </c>
    </row>
    <row r="24">
      <c r="M24" s="25">
        <v>50.0</v>
      </c>
      <c r="N24" s="25">
        <v>-1.68103448275862</v>
      </c>
      <c r="O24" s="25">
        <v>0.528226852600438</v>
      </c>
      <c r="P24" s="25">
        <v>-3.18241012262622</v>
      </c>
      <c r="Q24" s="25">
        <v>0.0244720531620441</v>
      </c>
      <c r="R24" s="25">
        <v>-3.03888483514865</v>
      </c>
      <c r="S24" s="25">
        <v>-0.323184130368594</v>
      </c>
      <c r="T24" s="25">
        <v>-3.03888483514865</v>
      </c>
      <c r="U24" s="25">
        <v>-0.323184130368594</v>
      </c>
    </row>
    <row r="25">
      <c r="M25" s="25">
        <v>100.0</v>
      </c>
      <c r="N25" s="25">
        <v>-2.04310344827586</v>
      </c>
      <c r="O25" s="25">
        <v>0.491601709098358</v>
      </c>
      <c r="P25" s="25">
        <v>-4.15601372099194</v>
      </c>
      <c r="Q25" s="25">
        <v>0.00885824587375329</v>
      </c>
      <c r="R25" s="25">
        <v>-3.30680587205187</v>
      </c>
      <c r="S25" s="25">
        <v>-0.779401024499856</v>
      </c>
      <c r="T25" s="25">
        <v>-3.30680587205187</v>
      </c>
      <c r="U25" s="25">
        <v>-0.779401024499856</v>
      </c>
    </row>
    <row r="26">
      <c r="M26" s="25" t="s">
        <v>138</v>
      </c>
      <c r="N26" s="25">
        <v>-2.13793103448276</v>
      </c>
      <c r="O26" s="25">
        <v>0.539265310316565</v>
      </c>
      <c r="P26" s="25">
        <v>-3.96452542669161</v>
      </c>
      <c r="Q26" s="25">
        <v>0.0106944209774936</v>
      </c>
      <c r="R26" s="25">
        <v>-3.5241566457713</v>
      </c>
      <c r="S26" s="25">
        <v>-0.751705423194218</v>
      </c>
      <c r="T26" s="25">
        <v>-3.5241566457713</v>
      </c>
      <c r="U26" s="25">
        <v>-0.751705423194218</v>
      </c>
    </row>
    <row r="27" ht="12.75" customHeight="1">
      <c r="A27" s="17"/>
      <c r="B27" s="17"/>
      <c r="C27" s="5"/>
      <c r="D27" s="5"/>
      <c r="E27" s="5"/>
      <c r="F27" s="5"/>
      <c r="G27" s="5"/>
      <c r="H27" s="5"/>
      <c r="I27" s="5"/>
      <c r="J27" s="5"/>
      <c r="M27" s="25" t="s">
        <v>139</v>
      </c>
      <c r="N27" s="25">
        <v>0.293103448275862</v>
      </c>
      <c r="O27" s="25">
        <v>0.491601709098358</v>
      </c>
      <c r="P27" s="25">
        <v>0.596221377695046</v>
      </c>
      <c r="Q27" s="25">
        <v>0.576991936460787</v>
      </c>
      <c r="R27" s="25">
        <v>-0.970598975500144</v>
      </c>
      <c r="S27" s="25">
        <v>1.55680587205187</v>
      </c>
      <c r="T27" s="25">
        <v>-0.970598975500144</v>
      </c>
      <c r="U27" s="25">
        <v>1.55680587205187</v>
      </c>
    </row>
    <row r="28">
      <c r="C28" s="5"/>
      <c r="D28" s="5"/>
      <c r="E28" s="5"/>
      <c r="F28" s="5"/>
      <c r="G28" s="5"/>
      <c r="H28" s="5"/>
      <c r="I28" s="5"/>
      <c r="J28" s="5"/>
      <c r="M28" s="25" t="s">
        <v>140</v>
      </c>
      <c r="N28" s="25">
        <v>-1.20689655172414</v>
      </c>
      <c r="O28" s="25">
        <v>0.413217991143317</v>
      </c>
      <c r="P28" s="25">
        <v>-2.92072605160492</v>
      </c>
      <c r="Q28" s="25">
        <v>0.0329859171581332</v>
      </c>
      <c r="R28" s="25">
        <v>-2.26910721391528</v>
      </c>
      <c r="S28" s="25">
        <v>-0.144685889532999</v>
      </c>
      <c r="T28" s="25">
        <v>-2.26910721391528</v>
      </c>
      <c r="U28" s="25">
        <v>-0.144685889532999</v>
      </c>
    </row>
    <row r="29">
      <c r="C29" s="5"/>
      <c r="D29" s="5"/>
      <c r="E29" s="5"/>
      <c r="F29" s="5"/>
      <c r="G29" s="5"/>
      <c r="H29" s="5"/>
      <c r="I29" s="5"/>
      <c r="J29" s="5"/>
      <c r="M29" s="25" t="s">
        <v>141</v>
      </c>
      <c r="N29" s="25">
        <v>-0.168103448275862</v>
      </c>
      <c r="O29" s="25">
        <v>0.491601709098358</v>
      </c>
      <c r="P29" s="25">
        <v>-0.341950496030981</v>
      </c>
      <c r="Q29" s="25">
        <v>0.746292170782702</v>
      </c>
      <c r="R29" s="25">
        <v>-1.43180587205187</v>
      </c>
      <c r="S29" s="25">
        <v>1.09559897550015</v>
      </c>
      <c r="T29" s="25">
        <v>-1.43180587205187</v>
      </c>
      <c r="U29" s="25">
        <v>1.09559897550015</v>
      </c>
    </row>
    <row r="30">
      <c r="C30" s="5"/>
      <c r="D30" s="5"/>
      <c r="E30" s="5"/>
      <c r="F30" s="5"/>
      <c r="G30" s="5"/>
      <c r="H30" s="5"/>
      <c r="I30" s="5"/>
      <c r="J30" s="5"/>
      <c r="M30" s="25" t="s">
        <v>142</v>
      </c>
      <c r="N30" s="25">
        <v>0.943965517241379</v>
      </c>
      <c r="O30" s="25">
        <v>0.528226852600438</v>
      </c>
      <c r="P30" s="25">
        <v>1.78704568424395</v>
      </c>
      <c r="Q30" s="25">
        <v>0.133973722006856</v>
      </c>
      <c r="R30" s="25">
        <v>-0.413884835148648</v>
      </c>
      <c r="S30" s="25">
        <v>2.30181586963141</v>
      </c>
      <c r="T30" s="25">
        <v>-0.413884835148648</v>
      </c>
      <c r="U30" s="25">
        <v>2.30181586963141</v>
      </c>
    </row>
    <row r="31">
      <c r="C31" s="5"/>
      <c r="D31" s="5"/>
      <c r="E31" s="5"/>
      <c r="F31" s="5"/>
      <c r="G31" s="5"/>
      <c r="H31" s="5"/>
      <c r="I31" s="5"/>
      <c r="J31" s="5"/>
      <c r="M31" s="25">
        <v>0.2</v>
      </c>
      <c r="N31" s="25">
        <v>0.112068965517241</v>
      </c>
      <c r="O31" s="25">
        <v>0.539265310316564</v>
      </c>
      <c r="P31" s="25">
        <v>0.207817865108833</v>
      </c>
      <c r="Q31" s="25">
        <v>0.84357074659084</v>
      </c>
      <c r="R31" s="25">
        <v>-1.2741566457713</v>
      </c>
      <c r="S31" s="25">
        <v>1.49829457680578</v>
      </c>
      <c r="T31" s="25">
        <v>-1.2741566457713</v>
      </c>
      <c r="U31" s="25">
        <v>1.49829457680578</v>
      </c>
    </row>
    <row r="32">
      <c r="C32" s="5"/>
      <c r="D32" s="5"/>
      <c r="E32" s="5"/>
      <c r="F32" s="5"/>
      <c r="G32" s="5"/>
      <c r="H32" s="5"/>
      <c r="I32" s="5"/>
      <c r="J32" s="5"/>
      <c r="M32" s="57">
        <v>0.25</v>
      </c>
      <c r="N32" s="57">
        <v>-0.331896551724138</v>
      </c>
      <c r="O32" s="57">
        <v>0.491601709098358</v>
      </c>
      <c r="P32" s="57">
        <v>-0.675133030625271</v>
      </c>
      <c r="Q32" s="57">
        <v>0.529546102339689</v>
      </c>
      <c r="R32" s="57">
        <v>-1.59559897550014</v>
      </c>
      <c r="S32" s="57">
        <v>0.931805872051869</v>
      </c>
      <c r="T32" s="57">
        <v>-1.59559897550014</v>
      </c>
      <c r="U32" s="57">
        <v>0.931805872051869</v>
      </c>
    </row>
    <row r="36">
      <c r="A36" s="22">
        <v>50.0</v>
      </c>
      <c r="B36" s="22">
        <v>100.0</v>
      </c>
      <c r="C36" s="23" t="s">
        <v>138</v>
      </c>
      <c r="D36" s="23" t="s">
        <v>139</v>
      </c>
      <c r="E36" s="22" t="s">
        <v>140</v>
      </c>
      <c r="F36" s="2" t="s">
        <v>141</v>
      </c>
      <c r="G36" s="2" t="s">
        <v>142</v>
      </c>
      <c r="H36" s="24">
        <v>0.2</v>
      </c>
      <c r="I36" s="24">
        <v>0.25</v>
      </c>
      <c r="J36" s="5" t="s">
        <v>116</v>
      </c>
      <c r="M36" s="25" t="s">
        <v>155</v>
      </c>
      <c r="Y36" s="35"/>
      <c r="Z36" s="36" t="s">
        <v>156</v>
      </c>
      <c r="AA36" s="37"/>
    </row>
    <row r="37">
      <c r="A37" s="25">
        <v>0.0</v>
      </c>
      <c r="B37" s="25">
        <v>1.0</v>
      </c>
      <c r="C37" s="25">
        <v>0.0</v>
      </c>
      <c r="D37" s="25">
        <v>0.0</v>
      </c>
      <c r="E37" s="25">
        <v>1.0</v>
      </c>
      <c r="F37" s="25">
        <v>1.0</v>
      </c>
      <c r="G37" s="25">
        <v>0.0</v>
      </c>
      <c r="H37" s="25">
        <v>0.0</v>
      </c>
      <c r="I37" s="25">
        <v>1.0</v>
      </c>
      <c r="J37" s="5">
        <v>2.0</v>
      </c>
      <c r="Y37" s="38" t="s">
        <v>157</v>
      </c>
      <c r="Z37" s="39"/>
      <c r="AA37" s="40">
        <f>N52</f>
        <v>4.443965517</v>
      </c>
      <c r="AB37" s="41" t="s">
        <v>158</v>
      </c>
    </row>
    <row r="38">
      <c r="A38" s="25">
        <v>0.0</v>
      </c>
      <c r="B38" s="25">
        <v>0.0</v>
      </c>
      <c r="C38" s="25">
        <v>1.0</v>
      </c>
      <c r="D38" s="25">
        <v>0.0</v>
      </c>
      <c r="E38" s="25">
        <v>0.0</v>
      </c>
      <c r="F38" s="25">
        <v>0.0</v>
      </c>
      <c r="G38" s="25">
        <v>0.0</v>
      </c>
      <c r="H38" s="25">
        <v>1.0</v>
      </c>
      <c r="I38" s="25">
        <v>0.0</v>
      </c>
      <c r="J38" s="5">
        <v>3.0</v>
      </c>
      <c r="M38" s="42" t="s">
        <v>159</v>
      </c>
      <c r="N38" s="43"/>
      <c r="Y38" s="44" t="s">
        <v>145</v>
      </c>
      <c r="Z38" s="45">
        <v>0.0</v>
      </c>
      <c r="AA38" s="46">
        <v>0.0</v>
      </c>
      <c r="AB38" s="47">
        <f>IF(AA38=MAX(AA38:AA40),Z38,IF(AA39=MAX(AA38:AA40),Z39,Z40))</f>
        <v>100</v>
      </c>
    </row>
    <row r="39">
      <c r="A39" s="25">
        <v>0.0</v>
      </c>
      <c r="B39" s="25">
        <v>0.0</v>
      </c>
      <c r="C39" s="25">
        <v>0.0</v>
      </c>
      <c r="D39" s="25">
        <v>0.0</v>
      </c>
      <c r="E39" s="25">
        <v>0.0</v>
      </c>
      <c r="F39" s="25">
        <v>0.0</v>
      </c>
      <c r="G39" s="25">
        <v>1.0</v>
      </c>
      <c r="H39" s="25">
        <v>0.0</v>
      </c>
      <c r="I39" s="25">
        <v>1.0</v>
      </c>
      <c r="J39" s="5">
        <v>4.0</v>
      </c>
      <c r="M39" s="25" t="s">
        <v>160</v>
      </c>
      <c r="N39" s="25">
        <v>0.942118976639469</v>
      </c>
      <c r="Y39" s="48"/>
      <c r="Z39" s="49">
        <v>50.0</v>
      </c>
      <c r="AA39" s="50">
        <f t="shared" ref="AA39:AA40" si="5">N53</f>
        <v>0.07327586207</v>
      </c>
      <c r="AB39" s="51"/>
    </row>
    <row r="40">
      <c r="A40" s="25">
        <v>1.0</v>
      </c>
      <c r="B40" s="25">
        <v>0.0</v>
      </c>
      <c r="C40" s="25">
        <v>1.0</v>
      </c>
      <c r="D40" s="25">
        <v>0.0</v>
      </c>
      <c r="E40" s="25">
        <v>1.0</v>
      </c>
      <c r="F40" s="25">
        <v>0.0</v>
      </c>
      <c r="G40" s="25">
        <v>1.0</v>
      </c>
      <c r="H40" s="25">
        <v>0.0</v>
      </c>
      <c r="I40" s="25">
        <v>1.0</v>
      </c>
      <c r="J40" s="5">
        <v>3.0</v>
      </c>
      <c r="M40" s="25" t="s">
        <v>161</v>
      </c>
      <c r="N40" s="25">
        <v>0.887588166144201</v>
      </c>
      <c r="Y40" s="52"/>
      <c r="Z40" s="53">
        <v>100.0</v>
      </c>
      <c r="AA40" s="54">
        <f t="shared" si="5"/>
        <v>0.2198275862</v>
      </c>
      <c r="AB40" s="51"/>
    </row>
    <row r="41">
      <c r="A41" s="25">
        <v>0.0</v>
      </c>
      <c r="B41" s="25">
        <v>0.0</v>
      </c>
      <c r="C41" s="25">
        <v>0.0</v>
      </c>
      <c r="D41" s="25">
        <v>0.0</v>
      </c>
      <c r="E41" s="25">
        <v>1.0</v>
      </c>
      <c r="F41" s="25">
        <v>0.0</v>
      </c>
      <c r="G41" s="25">
        <v>0.0</v>
      </c>
      <c r="H41" s="25">
        <v>1.0</v>
      </c>
      <c r="I41" s="25">
        <v>0.0</v>
      </c>
      <c r="J41" s="5">
        <v>4.0</v>
      </c>
      <c r="M41" s="25" t="s">
        <v>162</v>
      </c>
      <c r="N41" s="25">
        <v>0.685246865203762</v>
      </c>
      <c r="Y41" s="55" t="s">
        <v>146</v>
      </c>
      <c r="Z41" s="32" t="s">
        <v>147</v>
      </c>
      <c r="AA41" s="50">
        <v>0.0</v>
      </c>
      <c r="AB41" s="61" t="str">
        <f>IF(AA41=MAX(AA41:AA43),Z41,IF(AA42=MAX(AA41:AA43),Z42,Z43))</f>
        <v>Dining &amp; Grocery Cashback (3%)</v>
      </c>
    </row>
    <row r="42">
      <c r="A42" s="25">
        <v>0.0</v>
      </c>
      <c r="B42" s="25">
        <v>1.0</v>
      </c>
      <c r="C42" s="25">
        <v>0.0</v>
      </c>
      <c r="D42" s="25">
        <v>1.0</v>
      </c>
      <c r="E42" s="25">
        <v>1.0</v>
      </c>
      <c r="F42" s="25">
        <v>0.0</v>
      </c>
      <c r="G42" s="25">
        <v>1.0</v>
      </c>
      <c r="H42" s="25">
        <v>1.0</v>
      </c>
      <c r="I42" s="25">
        <v>0.0</v>
      </c>
      <c r="J42" s="5">
        <v>4.0</v>
      </c>
      <c r="M42" s="25" t="s">
        <v>163</v>
      </c>
      <c r="N42" s="25">
        <v>0.51360792775061</v>
      </c>
      <c r="Y42" s="48"/>
      <c r="Z42" s="32" t="s">
        <v>164</v>
      </c>
      <c r="AA42" s="50">
        <f t="shared" ref="AA42:AA43" si="6">N55</f>
        <v>-0.6465517241</v>
      </c>
      <c r="AB42" s="51"/>
    </row>
    <row r="43">
      <c r="A43" s="25">
        <v>0.0</v>
      </c>
      <c r="B43" s="25">
        <v>1.0</v>
      </c>
      <c r="C43" s="25">
        <v>0.0</v>
      </c>
      <c r="D43" s="25">
        <v>0.0</v>
      </c>
      <c r="E43" s="25">
        <v>0.0</v>
      </c>
      <c r="F43" s="25">
        <v>1.0</v>
      </c>
      <c r="G43" s="25">
        <v>0.0</v>
      </c>
      <c r="H43" s="25">
        <v>0.0</v>
      </c>
      <c r="I43" s="25">
        <v>0.0</v>
      </c>
      <c r="J43" s="5">
        <v>4.0</v>
      </c>
      <c r="M43" s="57" t="s">
        <v>165</v>
      </c>
      <c r="N43" s="57">
        <v>15.0</v>
      </c>
      <c r="Y43" s="52"/>
      <c r="Z43" s="58" t="s">
        <v>166</v>
      </c>
      <c r="AA43" s="54">
        <f t="shared" si="6"/>
        <v>-0.9698275862</v>
      </c>
      <c r="AB43" s="59"/>
    </row>
    <row r="44">
      <c r="A44" s="25">
        <v>0.0</v>
      </c>
      <c r="B44" s="25">
        <v>1.0</v>
      </c>
      <c r="C44" s="25">
        <v>0.0</v>
      </c>
      <c r="D44" s="25">
        <v>1.0</v>
      </c>
      <c r="E44" s="25">
        <v>1.0</v>
      </c>
      <c r="F44" s="25">
        <v>0.0</v>
      </c>
      <c r="G44" s="25">
        <v>0.0</v>
      </c>
      <c r="H44" s="25">
        <v>0.0</v>
      </c>
      <c r="I44" s="25">
        <v>0.0</v>
      </c>
      <c r="J44" s="5">
        <v>3.0</v>
      </c>
      <c r="Y44" s="44" t="s">
        <v>148</v>
      </c>
      <c r="Z44" s="60" t="s">
        <v>149</v>
      </c>
      <c r="AA44" s="46">
        <v>0.0</v>
      </c>
      <c r="AB44" s="61" t="str">
        <f>IF(AA44=MAX(AA44:AA45),Z44,Z45)</f>
        <v>Yes</v>
      </c>
    </row>
    <row r="45">
      <c r="A45" s="25">
        <v>0.0</v>
      </c>
      <c r="B45" s="25">
        <v>1.0</v>
      </c>
      <c r="C45" s="25">
        <v>1.0</v>
      </c>
      <c r="D45" s="25">
        <v>0.0</v>
      </c>
      <c r="E45" s="25">
        <v>0.0</v>
      </c>
      <c r="F45" s="25">
        <v>0.0</v>
      </c>
      <c r="G45" s="25">
        <v>0.0</v>
      </c>
      <c r="H45" s="25">
        <v>0.0</v>
      </c>
      <c r="I45" s="25">
        <v>1.0</v>
      </c>
      <c r="J45" s="5">
        <v>3.0</v>
      </c>
      <c r="M45" s="25" t="s">
        <v>167</v>
      </c>
      <c r="Y45" s="52"/>
      <c r="Z45" s="58" t="s">
        <v>140</v>
      </c>
      <c r="AA45" s="54">
        <f>N57</f>
        <v>-0.3448275862</v>
      </c>
      <c r="AB45" s="59"/>
    </row>
    <row r="46">
      <c r="A46" s="25">
        <v>1.0</v>
      </c>
      <c r="B46" s="25">
        <v>0.0</v>
      </c>
      <c r="C46" s="25">
        <v>0.0</v>
      </c>
      <c r="D46" s="25">
        <v>0.0</v>
      </c>
      <c r="E46" s="25">
        <v>1.0</v>
      </c>
      <c r="F46" s="25">
        <v>0.0</v>
      </c>
      <c r="G46" s="25">
        <v>0.0</v>
      </c>
      <c r="H46" s="25">
        <v>0.0</v>
      </c>
      <c r="I46" s="25">
        <v>0.0</v>
      </c>
      <c r="J46" s="5">
        <v>4.0</v>
      </c>
      <c r="M46" s="42"/>
      <c r="N46" s="42" t="s">
        <v>168</v>
      </c>
      <c r="O46" s="42" t="s">
        <v>169</v>
      </c>
      <c r="P46" s="42" t="s">
        <v>170</v>
      </c>
      <c r="Q46" s="42" t="s">
        <v>171</v>
      </c>
      <c r="R46" s="42" t="s">
        <v>172</v>
      </c>
      <c r="Y46" s="44" t="s">
        <v>173</v>
      </c>
      <c r="Z46" s="62" t="s">
        <v>151</v>
      </c>
      <c r="AA46" s="46">
        <v>0.0</v>
      </c>
      <c r="AB46" s="56" t="str">
        <f>IF(AA46=MAX(AA46:AA48),Z46,IF(AA47=MAX(AA46:AA48),Z47,Z48))</f>
        <v>Amex</v>
      </c>
    </row>
    <row r="47">
      <c r="A47" s="25">
        <v>0.0</v>
      </c>
      <c r="B47" s="25">
        <v>0.0</v>
      </c>
      <c r="C47" s="25">
        <v>0.0</v>
      </c>
      <c r="D47" s="25">
        <v>1.0</v>
      </c>
      <c r="E47" s="25">
        <v>0.0</v>
      </c>
      <c r="F47" s="25">
        <v>0.0</v>
      </c>
      <c r="G47" s="25">
        <v>1.0</v>
      </c>
      <c r="H47" s="25">
        <v>0.0</v>
      </c>
      <c r="I47" s="25">
        <v>0.0</v>
      </c>
      <c r="J47" s="5">
        <v>4.0</v>
      </c>
      <c r="M47" s="25" t="s">
        <v>174</v>
      </c>
      <c r="N47" s="25">
        <v>9.0</v>
      </c>
      <c r="O47" s="25">
        <v>10.414367816092</v>
      </c>
      <c r="P47" s="25">
        <v>1.15715197956577</v>
      </c>
      <c r="Q47" s="25">
        <v>4.38658920358267</v>
      </c>
      <c r="R47" s="25">
        <v>0.0590488141091942</v>
      </c>
      <c r="Y47" s="48"/>
      <c r="Z47" s="23" t="s">
        <v>141</v>
      </c>
      <c r="AA47" s="50">
        <f t="shared" ref="AA47:AA48" si="7">N58</f>
        <v>-0.9051724138</v>
      </c>
      <c r="AB47" s="51"/>
    </row>
    <row r="48">
      <c r="A48" s="25">
        <v>1.0</v>
      </c>
      <c r="B48" s="25">
        <v>0.0</v>
      </c>
      <c r="C48" s="25">
        <v>0.0</v>
      </c>
      <c r="D48" s="25">
        <v>1.0</v>
      </c>
      <c r="E48" s="25">
        <v>0.0</v>
      </c>
      <c r="F48" s="25">
        <v>1.0</v>
      </c>
      <c r="G48" s="25">
        <v>0.0</v>
      </c>
      <c r="H48" s="25">
        <v>1.0</v>
      </c>
      <c r="I48" s="25">
        <v>0.0</v>
      </c>
      <c r="J48" s="5">
        <v>2.0</v>
      </c>
      <c r="M48" s="25" t="s">
        <v>175</v>
      </c>
      <c r="N48" s="25">
        <v>5.0</v>
      </c>
      <c r="O48" s="25">
        <v>1.31896551724138</v>
      </c>
      <c r="P48" s="25">
        <v>0.263793103448276</v>
      </c>
      <c r="Y48" s="52"/>
      <c r="Z48" s="58" t="s">
        <v>142</v>
      </c>
      <c r="AA48" s="54">
        <f t="shared" si="7"/>
        <v>0.6982758621</v>
      </c>
      <c r="AB48" s="59"/>
    </row>
    <row r="49">
      <c r="A49" s="25">
        <v>1.0</v>
      </c>
      <c r="B49" s="25">
        <v>0.0</v>
      </c>
      <c r="C49" s="25">
        <v>0.0</v>
      </c>
      <c r="D49" s="25">
        <v>1.0</v>
      </c>
      <c r="E49" s="25">
        <v>0.0</v>
      </c>
      <c r="F49" s="25">
        <v>0.0</v>
      </c>
      <c r="G49" s="25">
        <v>0.0</v>
      </c>
      <c r="H49" s="25">
        <v>0.0</v>
      </c>
      <c r="I49" s="25">
        <v>1.0</v>
      </c>
      <c r="J49" s="5">
        <v>3.0</v>
      </c>
      <c r="M49" s="57" t="s">
        <v>176</v>
      </c>
      <c r="N49" s="57">
        <v>14.0</v>
      </c>
      <c r="O49" s="57">
        <v>11.7333333333333</v>
      </c>
      <c r="P49" s="57"/>
      <c r="Q49" s="57"/>
      <c r="R49" s="57"/>
      <c r="Y49" s="44" t="s">
        <v>177</v>
      </c>
      <c r="Z49" s="63">
        <v>0.15</v>
      </c>
      <c r="AA49" s="46">
        <v>0.0</v>
      </c>
      <c r="AB49" s="64">
        <f>IF(AA49=MAX(AA49:AA51),Z49,IF(AA50=MAX(AA49:AA51),Z50,Z51))</f>
        <v>0.15</v>
      </c>
    </row>
    <row r="50">
      <c r="A50" s="25">
        <v>0.0</v>
      </c>
      <c r="B50" s="25">
        <v>0.0</v>
      </c>
      <c r="C50" s="25">
        <v>1.0</v>
      </c>
      <c r="D50" s="25">
        <v>0.0</v>
      </c>
      <c r="E50" s="25">
        <v>1.0</v>
      </c>
      <c r="F50" s="25">
        <v>1.0</v>
      </c>
      <c r="G50" s="25">
        <v>0.0</v>
      </c>
      <c r="H50" s="25">
        <v>0.0</v>
      </c>
      <c r="I50" s="25">
        <v>0.0</v>
      </c>
      <c r="J50" s="5">
        <v>3.0</v>
      </c>
      <c r="Y50" s="48"/>
      <c r="Z50" s="65">
        <v>0.2</v>
      </c>
      <c r="AA50" s="50">
        <f t="shared" ref="AA50:AA51" si="8">N60</f>
        <v>-0.3965517241</v>
      </c>
      <c r="AB50" s="51"/>
    </row>
    <row r="51">
      <c r="A51" s="25">
        <v>0.0</v>
      </c>
      <c r="B51" s="25">
        <v>0.0</v>
      </c>
      <c r="C51" s="25">
        <v>0.0</v>
      </c>
      <c r="D51" s="25">
        <v>1.0</v>
      </c>
      <c r="E51" s="25">
        <v>1.0</v>
      </c>
      <c r="F51" s="25">
        <v>1.0</v>
      </c>
      <c r="G51" s="25">
        <v>0.0</v>
      </c>
      <c r="H51" s="25">
        <v>0.0</v>
      </c>
      <c r="I51" s="25">
        <v>1.0</v>
      </c>
      <c r="J51" s="5">
        <v>1.0</v>
      </c>
      <c r="M51" s="42"/>
      <c r="N51" s="42" t="s">
        <v>178</v>
      </c>
      <c r="O51" s="42" t="s">
        <v>163</v>
      </c>
      <c r="P51" s="42" t="s">
        <v>179</v>
      </c>
      <c r="Q51" s="42" t="s">
        <v>180</v>
      </c>
      <c r="R51" s="42" t="s">
        <v>181</v>
      </c>
      <c r="S51" s="42" t="s">
        <v>182</v>
      </c>
      <c r="T51" s="42" t="s">
        <v>183</v>
      </c>
      <c r="U51" s="42" t="s">
        <v>184</v>
      </c>
      <c r="Y51" s="52"/>
      <c r="Z51" s="66">
        <v>0.25</v>
      </c>
      <c r="AA51" s="54">
        <f t="shared" si="8"/>
        <v>-1.094827586</v>
      </c>
      <c r="AB51" s="59"/>
    </row>
    <row r="52">
      <c r="M52" s="25" t="s">
        <v>157</v>
      </c>
      <c r="N52" s="25">
        <v>4.44396551724138</v>
      </c>
      <c r="O52" s="25">
        <v>0.410683357894915</v>
      </c>
      <c r="P52" s="25">
        <v>10.8209047963869</v>
      </c>
      <c r="Q52" s="25">
        <v>1.16962280023239E-4</v>
      </c>
      <c r="R52" s="25">
        <v>3.38827033723858</v>
      </c>
      <c r="S52" s="25">
        <v>5.49966069724418</v>
      </c>
      <c r="T52" s="25">
        <v>3.38827033723858</v>
      </c>
      <c r="U52" s="25">
        <v>5.49966069724418</v>
      </c>
    </row>
    <row r="53">
      <c r="M53" s="25">
        <v>50.0</v>
      </c>
      <c r="N53" s="25">
        <v>0.0732758620689654</v>
      </c>
      <c r="O53" s="25">
        <v>0.34484105577141</v>
      </c>
      <c r="P53" s="25">
        <v>0.212491699705092</v>
      </c>
      <c r="Q53" s="25">
        <v>0.840114705429641</v>
      </c>
      <c r="R53" s="25">
        <v>-0.813166292078671</v>
      </c>
      <c r="S53" s="25">
        <v>0.959718016216602</v>
      </c>
      <c r="T53" s="25">
        <v>-0.813166292078671</v>
      </c>
      <c r="U53" s="25">
        <v>0.959718016216602</v>
      </c>
    </row>
    <row r="54">
      <c r="M54" s="25">
        <v>100.0</v>
      </c>
      <c r="N54" s="25">
        <v>0.219827586206897</v>
      </c>
      <c r="O54" s="25">
        <v>0.320931152117591</v>
      </c>
      <c r="P54" s="25">
        <v>0.684968052357693</v>
      </c>
      <c r="Q54" s="25">
        <v>0.523819702408045</v>
      </c>
      <c r="R54" s="25">
        <v>-0.605152203916418</v>
      </c>
      <c r="S54" s="25">
        <v>1.04480737633021</v>
      </c>
      <c r="T54" s="25">
        <v>-0.605152203916418</v>
      </c>
      <c r="U54" s="25">
        <v>1.04480737633021</v>
      </c>
    </row>
    <row r="55">
      <c r="M55" s="25" t="s">
        <v>138</v>
      </c>
      <c r="N55" s="25">
        <v>-0.646551724137931</v>
      </c>
      <c r="O55" s="25">
        <v>0.35204726536522</v>
      </c>
      <c r="P55" s="25">
        <v>-1.8365480654059</v>
      </c>
      <c r="Q55" s="25">
        <v>0.125704429307985</v>
      </c>
      <c r="R55" s="25">
        <v>-1.5515180297712</v>
      </c>
      <c r="S55" s="25">
        <v>0.258414581495341</v>
      </c>
      <c r="T55" s="25">
        <v>-1.5515180297712</v>
      </c>
      <c r="U55" s="25">
        <v>0.258414581495341</v>
      </c>
    </row>
    <row r="56">
      <c r="M56" s="25" t="s">
        <v>139</v>
      </c>
      <c r="N56" s="25">
        <v>-0.969827586206896</v>
      </c>
      <c r="O56" s="25">
        <v>0.320931152117591</v>
      </c>
      <c r="P56" s="25">
        <v>-3.02191787804864</v>
      </c>
      <c r="Q56" s="25">
        <v>0.0293517884412886</v>
      </c>
      <c r="R56" s="25">
        <v>-1.79480737633021</v>
      </c>
      <c r="S56" s="25">
        <v>-0.144847796083582</v>
      </c>
      <c r="T56" s="25">
        <v>-1.79480737633021</v>
      </c>
      <c r="U56" s="25">
        <v>-0.144847796083582</v>
      </c>
    </row>
    <row r="57">
      <c r="M57" s="25" t="s">
        <v>140</v>
      </c>
      <c r="N57" s="25">
        <v>-0.344827586206896</v>
      </c>
      <c r="O57" s="25">
        <v>0.269760099525627</v>
      </c>
      <c r="P57" s="25">
        <v>-1.27827498141228</v>
      </c>
      <c r="Q57" s="25">
        <v>0.257274155777527</v>
      </c>
      <c r="R57" s="25">
        <v>-1.03826799802692</v>
      </c>
      <c r="S57" s="25">
        <v>0.348612825613124</v>
      </c>
      <c r="T57" s="25">
        <v>-1.03826799802692</v>
      </c>
      <c r="U57" s="25">
        <v>0.348612825613124</v>
      </c>
    </row>
    <row r="58">
      <c r="M58" s="25" t="s">
        <v>141</v>
      </c>
      <c r="N58" s="25">
        <v>-0.905172413793103</v>
      </c>
      <c r="O58" s="25">
        <v>0.320931152117591</v>
      </c>
      <c r="P58" s="25">
        <v>-2.82045668617873</v>
      </c>
      <c r="Q58" s="25">
        <v>0.0370886870543749</v>
      </c>
      <c r="R58" s="25">
        <v>-1.73015220391642</v>
      </c>
      <c r="S58" s="25">
        <v>-0.0801926236697884</v>
      </c>
      <c r="T58" s="25">
        <v>-1.73015220391642</v>
      </c>
      <c r="U58" s="25">
        <v>-0.0801926236697884</v>
      </c>
    </row>
    <row r="59">
      <c r="M59" s="25" t="s">
        <v>142</v>
      </c>
      <c r="N59" s="25">
        <v>0.698275862068965</v>
      </c>
      <c r="O59" s="25">
        <v>0.34484105577141</v>
      </c>
      <c r="P59" s="25">
        <v>2.02492090307206</v>
      </c>
      <c r="Q59" s="25">
        <v>0.0987485909092256</v>
      </c>
      <c r="R59" s="25">
        <v>-0.188166292078672</v>
      </c>
      <c r="S59" s="25">
        <v>1.5847180162166</v>
      </c>
      <c r="T59" s="25">
        <v>-0.188166292078672</v>
      </c>
      <c r="U59" s="25">
        <v>1.5847180162166</v>
      </c>
    </row>
    <row r="60">
      <c r="M60" s="25">
        <v>0.2</v>
      </c>
      <c r="N60" s="25">
        <v>-0.396551724137931</v>
      </c>
      <c r="O60" s="25">
        <v>0.35204726536522</v>
      </c>
      <c r="P60" s="25">
        <v>-1.12641614678228</v>
      </c>
      <c r="Q60" s="25">
        <v>0.311128983025313</v>
      </c>
      <c r="R60" s="25">
        <v>-1.3015180297712</v>
      </c>
      <c r="S60" s="25">
        <v>0.508414581495341</v>
      </c>
      <c r="T60" s="25">
        <v>-1.3015180297712</v>
      </c>
      <c r="U60" s="25">
        <v>0.508414581495341</v>
      </c>
    </row>
    <row r="61">
      <c r="M61" s="57">
        <v>0.25</v>
      </c>
      <c r="N61" s="57">
        <v>-1.0948275862069</v>
      </c>
      <c r="O61" s="57">
        <v>0.320931152117591</v>
      </c>
      <c r="P61" s="57">
        <v>-3.4114095156638</v>
      </c>
      <c r="Q61" s="57">
        <v>0.0190142810643449</v>
      </c>
      <c r="R61" s="57">
        <v>-1.91980737633021</v>
      </c>
      <c r="S61" s="57">
        <v>-0.269847796083582</v>
      </c>
      <c r="T61" s="57">
        <v>-1.91980737633021</v>
      </c>
      <c r="U61" s="57">
        <v>-0.269847796083582</v>
      </c>
    </row>
    <row r="66">
      <c r="A66" s="22">
        <v>50.0</v>
      </c>
      <c r="B66" s="22">
        <v>100.0</v>
      </c>
      <c r="C66" s="23" t="s">
        <v>138</v>
      </c>
      <c r="D66" s="23" t="s">
        <v>139</v>
      </c>
      <c r="E66" s="22" t="s">
        <v>140</v>
      </c>
      <c r="F66" s="2" t="s">
        <v>141</v>
      </c>
      <c r="G66" s="2" t="s">
        <v>142</v>
      </c>
      <c r="H66" s="24">
        <v>0.2</v>
      </c>
      <c r="I66" s="24">
        <v>0.25</v>
      </c>
      <c r="J66" s="5" t="s">
        <v>117</v>
      </c>
      <c r="M66" s="25" t="s">
        <v>155</v>
      </c>
      <c r="Y66" s="35"/>
      <c r="Z66" s="36" t="s">
        <v>156</v>
      </c>
      <c r="AA66" s="37"/>
    </row>
    <row r="67">
      <c r="A67" s="25">
        <v>0.0</v>
      </c>
      <c r="B67" s="25">
        <v>1.0</v>
      </c>
      <c r="C67" s="25">
        <v>0.0</v>
      </c>
      <c r="D67" s="25">
        <v>0.0</v>
      </c>
      <c r="E67" s="25">
        <v>1.0</v>
      </c>
      <c r="F67" s="25">
        <v>1.0</v>
      </c>
      <c r="G67" s="25">
        <v>0.0</v>
      </c>
      <c r="H67" s="25">
        <v>0.0</v>
      </c>
      <c r="I67" s="25">
        <v>1.0</v>
      </c>
      <c r="J67" s="5">
        <v>4.0</v>
      </c>
      <c r="Y67" s="38" t="s">
        <v>157</v>
      </c>
      <c r="Z67" s="39"/>
      <c r="AA67" s="40">
        <f>N82</f>
        <v>5.288793103</v>
      </c>
      <c r="AB67" s="41" t="s">
        <v>158</v>
      </c>
    </row>
    <row r="68">
      <c r="A68" s="25">
        <v>0.0</v>
      </c>
      <c r="B68" s="25">
        <v>0.0</v>
      </c>
      <c r="C68" s="25">
        <v>1.0</v>
      </c>
      <c r="D68" s="25">
        <v>0.0</v>
      </c>
      <c r="E68" s="25">
        <v>0.0</v>
      </c>
      <c r="F68" s="25">
        <v>0.0</v>
      </c>
      <c r="G68" s="25">
        <v>0.0</v>
      </c>
      <c r="H68" s="25">
        <v>1.0</v>
      </c>
      <c r="I68" s="25">
        <v>0.0</v>
      </c>
      <c r="J68" s="5">
        <v>3.0</v>
      </c>
      <c r="M68" s="42" t="s">
        <v>159</v>
      </c>
      <c r="N68" s="43"/>
      <c r="Y68" s="44" t="s">
        <v>145</v>
      </c>
      <c r="Z68" s="45">
        <v>0.0</v>
      </c>
      <c r="AA68" s="46">
        <v>0.0</v>
      </c>
      <c r="AB68" s="47">
        <f>IF(AA68=MAX(AA68:AA70),Z68,IF(AA69=MAX(AA68:AA70),Z69,Z70))</f>
        <v>100</v>
      </c>
    </row>
    <row r="69">
      <c r="A69" s="25">
        <v>0.0</v>
      </c>
      <c r="B69" s="25">
        <v>0.0</v>
      </c>
      <c r="C69" s="25">
        <v>0.0</v>
      </c>
      <c r="D69" s="25">
        <v>0.0</v>
      </c>
      <c r="E69" s="25">
        <v>0.0</v>
      </c>
      <c r="F69" s="25">
        <v>0.0</v>
      </c>
      <c r="G69" s="25">
        <v>1.0</v>
      </c>
      <c r="H69" s="25">
        <v>0.0</v>
      </c>
      <c r="I69" s="25">
        <v>1.0</v>
      </c>
      <c r="J69" s="5">
        <v>6.0</v>
      </c>
      <c r="M69" s="25" t="s">
        <v>160</v>
      </c>
      <c r="N69" s="25">
        <v>0.876690193156268</v>
      </c>
      <c r="Y69" s="48"/>
      <c r="Z69" s="49">
        <v>50.0</v>
      </c>
      <c r="AA69" s="50">
        <f t="shared" ref="AA69:AA70" si="9">N83</f>
        <v>0.1896551724</v>
      </c>
      <c r="AB69" s="51"/>
    </row>
    <row r="70">
      <c r="A70" s="25">
        <v>1.0</v>
      </c>
      <c r="B70" s="25">
        <v>0.0</v>
      </c>
      <c r="C70" s="25">
        <v>1.0</v>
      </c>
      <c r="D70" s="25">
        <v>0.0</v>
      </c>
      <c r="E70" s="25">
        <v>1.0</v>
      </c>
      <c r="F70" s="25">
        <v>0.0</v>
      </c>
      <c r="G70" s="25">
        <v>1.0</v>
      </c>
      <c r="H70" s="25">
        <v>0.0</v>
      </c>
      <c r="I70" s="25">
        <v>1.0</v>
      </c>
      <c r="J70" s="5">
        <v>2.0</v>
      </c>
      <c r="M70" s="25" t="s">
        <v>161</v>
      </c>
      <c r="N70" s="25">
        <v>0.768585694776374</v>
      </c>
      <c r="Y70" s="52"/>
      <c r="Z70" s="53">
        <v>100.0</v>
      </c>
      <c r="AA70" s="54">
        <f t="shared" si="9"/>
        <v>0.5689655172</v>
      </c>
      <c r="AB70" s="51"/>
    </row>
    <row r="71">
      <c r="A71" s="25">
        <v>0.0</v>
      </c>
      <c r="B71" s="25">
        <v>0.0</v>
      </c>
      <c r="C71" s="25">
        <v>0.0</v>
      </c>
      <c r="D71" s="25">
        <v>0.0</v>
      </c>
      <c r="E71" s="25">
        <v>1.0</v>
      </c>
      <c r="F71" s="25">
        <v>0.0</v>
      </c>
      <c r="G71" s="25">
        <v>0.0</v>
      </c>
      <c r="H71" s="25">
        <v>1.0</v>
      </c>
      <c r="I71" s="25">
        <v>0.0</v>
      </c>
      <c r="J71" s="5">
        <v>4.0</v>
      </c>
      <c r="M71" s="25" t="s">
        <v>162</v>
      </c>
      <c r="N71" s="25">
        <v>0.352039945373848</v>
      </c>
      <c r="Y71" s="55" t="s">
        <v>146</v>
      </c>
      <c r="Z71" s="32" t="s">
        <v>147</v>
      </c>
      <c r="AA71" s="50">
        <v>0.0</v>
      </c>
      <c r="AB71" s="61" t="str">
        <f>IF(AA71=MAX(AA71:AA73),Z71,IF(AA72=MAX(AA71:AA73),Z72,Z73))</f>
        <v>Dining &amp; Grocery Cashback (3%)</v>
      </c>
    </row>
    <row r="72">
      <c r="A72" s="25">
        <v>0.0</v>
      </c>
      <c r="B72" s="25">
        <v>1.0</v>
      </c>
      <c r="C72" s="25">
        <v>0.0</v>
      </c>
      <c r="D72" s="25">
        <v>1.0</v>
      </c>
      <c r="E72" s="25">
        <v>1.0</v>
      </c>
      <c r="F72" s="25">
        <v>0.0</v>
      </c>
      <c r="G72" s="25">
        <v>1.0</v>
      </c>
      <c r="H72" s="25">
        <v>1.0</v>
      </c>
      <c r="I72" s="25">
        <v>0.0</v>
      </c>
      <c r="J72" s="5">
        <v>3.0</v>
      </c>
      <c r="M72" s="25" t="s">
        <v>163</v>
      </c>
      <c r="N72" s="25">
        <v>1.1164908079057</v>
      </c>
      <c r="Y72" s="48"/>
      <c r="Z72" s="32" t="s">
        <v>164</v>
      </c>
      <c r="AA72" s="50">
        <f t="shared" ref="AA72:AA73" si="10">N85</f>
        <v>-1.129310345</v>
      </c>
      <c r="AB72" s="51"/>
    </row>
    <row r="73">
      <c r="A73" s="25">
        <v>0.0</v>
      </c>
      <c r="B73" s="25">
        <v>1.0</v>
      </c>
      <c r="C73" s="25">
        <v>0.0</v>
      </c>
      <c r="D73" s="25">
        <v>0.0</v>
      </c>
      <c r="E73" s="25">
        <v>0.0</v>
      </c>
      <c r="F73" s="25">
        <v>1.0</v>
      </c>
      <c r="G73" s="25">
        <v>0.0</v>
      </c>
      <c r="H73" s="25">
        <v>0.0</v>
      </c>
      <c r="I73" s="25">
        <v>0.0</v>
      </c>
      <c r="J73" s="5">
        <v>5.0</v>
      </c>
      <c r="M73" s="57" t="s">
        <v>165</v>
      </c>
      <c r="N73" s="57">
        <v>15.0</v>
      </c>
      <c r="Y73" s="52"/>
      <c r="Z73" s="58" t="s">
        <v>166</v>
      </c>
      <c r="AA73" s="54">
        <f t="shared" si="10"/>
        <v>-0.6939655172</v>
      </c>
      <c r="AB73" s="59"/>
    </row>
    <row r="74">
      <c r="A74" s="25">
        <v>0.0</v>
      </c>
      <c r="B74" s="25">
        <v>1.0</v>
      </c>
      <c r="C74" s="25">
        <v>0.0</v>
      </c>
      <c r="D74" s="25">
        <v>1.0</v>
      </c>
      <c r="E74" s="25">
        <v>1.0</v>
      </c>
      <c r="F74" s="25">
        <v>0.0</v>
      </c>
      <c r="G74" s="25">
        <v>0.0</v>
      </c>
      <c r="H74" s="25">
        <v>0.0</v>
      </c>
      <c r="I74" s="25">
        <v>0.0</v>
      </c>
      <c r="J74" s="5">
        <v>3.0</v>
      </c>
      <c r="Y74" s="44" t="s">
        <v>148</v>
      </c>
      <c r="Z74" s="60" t="s">
        <v>149</v>
      </c>
      <c r="AA74" s="46">
        <v>0.0</v>
      </c>
      <c r="AB74" s="61" t="str">
        <f>IF(AA74=MAX(AA74:AA75),Z74,Z75)</f>
        <v>Yes</v>
      </c>
    </row>
    <row r="75">
      <c r="A75" s="25">
        <v>0.0</v>
      </c>
      <c r="B75" s="25">
        <v>1.0</v>
      </c>
      <c r="C75" s="25">
        <v>1.0</v>
      </c>
      <c r="D75" s="25">
        <v>0.0</v>
      </c>
      <c r="E75" s="25">
        <v>0.0</v>
      </c>
      <c r="F75" s="25">
        <v>0.0</v>
      </c>
      <c r="G75" s="25">
        <v>0.0</v>
      </c>
      <c r="H75" s="25">
        <v>0.0</v>
      </c>
      <c r="I75" s="25">
        <v>1.0</v>
      </c>
      <c r="J75" s="5">
        <v>6.0</v>
      </c>
      <c r="M75" s="25" t="s">
        <v>167</v>
      </c>
      <c r="Y75" s="52"/>
      <c r="Z75" s="58" t="s">
        <v>140</v>
      </c>
      <c r="AA75" s="54">
        <f>N87</f>
        <v>-2.068965517</v>
      </c>
      <c r="AB75" s="59"/>
    </row>
    <row r="76">
      <c r="A76" s="25">
        <v>1.0</v>
      </c>
      <c r="B76" s="25">
        <v>0.0</v>
      </c>
      <c r="C76" s="25">
        <v>0.0</v>
      </c>
      <c r="D76" s="25">
        <v>0.0</v>
      </c>
      <c r="E76" s="25">
        <v>1.0</v>
      </c>
      <c r="F76" s="25">
        <v>0.0</v>
      </c>
      <c r="G76" s="25">
        <v>0.0</v>
      </c>
      <c r="H76" s="25">
        <v>0.0</v>
      </c>
      <c r="I76" s="25">
        <v>0.0</v>
      </c>
      <c r="J76" s="5">
        <v>3.0</v>
      </c>
      <c r="M76" s="42"/>
      <c r="N76" s="42" t="s">
        <v>168</v>
      </c>
      <c r="O76" s="42" t="s">
        <v>169</v>
      </c>
      <c r="P76" s="42" t="s">
        <v>170</v>
      </c>
      <c r="Q76" s="42" t="s">
        <v>171</v>
      </c>
      <c r="R76" s="42" t="s">
        <v>172</v>
      </c>
      <c r="Y76" s="44" t="s">
        <v>173</v>
      </c>
      <c r="Z76" s="62" t="s">
        <v>151</v>
      </c>
      <c r="AA76" s="46">
        <v>0.0</v>
      </c>
      <c r="AB76" s="56" t="str">
        <f>IF(AA76=MAX(AA76:AA78),Z76,IF(AA77=MAX(AA76:AA78),Z77,Z78))</f>
        <v>Visa</v>
      </c>
    </row>
    <row r="77">
      <c r="A77" s="25">
        <v>0.0</v>
      </c>
      <c r="B77" s="25">
        <v>0.0</v>
      </c>
      <c r="C77" s="25">
        <v>0.0</v>
      </c>
      <c r="D77" s="25">
        <v>1.0</v>
      </c>
      <c r="E77" s="25">
        <v>0.0</v>
      </c>
      <c r="F77" s="25">
        <v>0.0</v>
      </c>
      <c r="G77" s="25">
        <v>1.0</v>
      </c>
      <c r="H77" s="25">
        <v>0.0</v>
      </c>
      <c r="I77" s="25">
        <v>0.0</v>
      </c>
      <c r="J77" s="5">
        <v>4.0</v>
      </c>
      <c r="M77" s="25" t="s">
        <v>174</v>
      </c>
      <c r="N77" s="25">
        <v>9.0</v>
      </c>
      <c r="O77" s="25">
        <v>20.7005747126437</v>
      </c>
      <c r="P77" s="25">
        <v>2.30006385696041</v>
      </c>
      <c r="Q77" s="25">
        <v>1.84514113006506</v>
      </c>
      <c r="R77" s="25">
        <v>0.25892227079849</v>
      </c>
      <c r="Y77" s="48"/>
      <c r="Z77" s="23" t="s">
        <v>141</v>
      </c>
      <c r="AA77" s="50">
        <f t="shared" ref="AA77:AA78" si="11">N88</f>
        <v>-0.3060344828</v>
      </c>
      <c r="AB77" s="51"/>
    </row>
    <row r="78">
      <c r="A78" s="25">
        <v>1.0</v>
      </c>
      <c r="B78" s="25">
        <v>0.0</v>
      </c>
      <c r="C78" s="25">
        <v>0.0</v>
      </c>
      <c r="D78" s="25">
        <v>1.0</v>
      </c>
      <c r="E78" s="25">
        <v>0.0</v>
      </c>
      <c r="F78" s="25">
        <v>1.0</v>
      </c>
      <c r="G78" s="25">
        <v>0.0</v>
      </c>
      <c r="H78" s="25">
        <v>1.0</v>
      </c>
      <c r="I78" s="25">
        <v>0.0</v>
      </c>
      <c r="J78" s="5">
        <v>5.0</v>
      </c>
      <c r="M78" s="25" t="s">
        <v>175</v>
      </c>
      <c r="N78" s="25">
        <v>5.0</v>
      </c>
      <c r="O78" s="25">
        <v>6.23275862068966</v>
      </c>
      <c r="P78" s="25">
        <v>1.24655172413793</v>
      </c>
      <c r="Y78" s="52"/>
      <c r="Z78" s="58" t="s">
        <v>142</v>
      </c>
      <c r="AA78" s="54">
        <f t="shared" si="11"/>
        <v>-0.4353448276</v>
      </c>
      <c r="AB78" s="59"/>
    </row>
    <row r="79">
      <c r="A79" s="25">
        <v>1.0</v>
      </c>
      <c r="B79" s="25">
        <v>0.0</v>
      </c>
      <c r="C79" s="25">
        <v>0.0</v>
      </c>
      <c r="D79" s="25">
        <v>1.0</v>
      </c>
      <c r="E79" s="25">
        <v>0.0</v>
      </c>
      <c r="F79" s="25">
        <v>0.0</v>
      </c>
      <c r="G79" s="25">
        <v>0.0</v>
      </c>
      <c r="H79" s="25">
        <v>0.0</v>
      </c>
      <c r="I79" s="25">
        <v>1.0</v>
      </c>
      <c r="J79" s="5">
        <v>6.0</v>
      </c>
      <c r="M79" s="57" t="s">
        <v>176</v>
      </c>
      <c r="N79" s="57">
        <v>14.0</v>
      </c>
      <c r="O79" s="57">
        <v>26.9333333333333</v>
      </c>
      <c r="P79" s="57"/>
      <c r="Q79" s="57"/>
      <c r="R79" s="57"/>
      <c r="Y79" s="44" t="s">
        <v>177</v>
      </c>
      <c r="Z79" s="63">
        <v>0.15</v>
      </c>
      <c r="AA79" s="46">
        <v>0.0</v>
      </c>
      <c r="AB79" s="64">
        <f>IF(AA79=MAX(AA79:AA81),Z79,IF(AA80=MAX(AA79:AA81),Z80,Z81))</f>
        <v>0.25</v>
      </c>
    </row>
    <row r="80">
      <c r="A80" s="25">
        <v>0.0</v>
      </c>
      <c r="B80" s="25">
        <v>0.0</v>
      </c>
      <c r="C80" s="25">
        <v>1.0</v>
      </c>
      <c r="D80" s="25">
        <v>0.0</v>
      </c>
      <c r="E80" s="25">
        <v>1.0</v>
      </c>
      <c r="F80" s="25">
        <v>1.0</v>
      </c>
      <c r="G80" s="25">
        <v>0.0</v>
      </c>
      <c r="H80" s="25">
        <v>0.0</v>
      </c>
      <c r="I80" s="25">
        <v>0.0</v>
      </c>
      <c r="J80" s="5">
        <v>3.0</v>
      </c>
      <c r="Y80" s="48"/>
      <c r="Z80" s="65">
        <v>0.2</v>
      </c>
      <c r="AA80" s="50">
        <f t="shared" ref="AA80:AA81" si="12">N90</f>
        <v>0.1206896552</v>
      </c>
      <c r="AB80" s="51"/>
    </row>
    <row r="81">
      <c r="A81" s="25">
        <v>0.0</v>
      </c>
      <c r="B81" s="25">
        <v>0.0</v>
      </c>
      <c r="C81" s="25">
        <v>0.0</v>
      </c>
      <c r="D81" s="25">
        <v>1.0</v>
      </c>
      <c r="E81" s="25">
        <v>1.0</v>
      </c>
      <c r="F81" s="25">
        <v>1.0</v>
      </c>
      <c r="G81" s="25">
        <v>0.0</v>
      </c>
      <c r="H81" s="25">
        <v>0.0</v>
      </c>
      <c r="I81" s="25">
        <v>1.0</v>
      </c>
      <c r="J81" s="5">
        <v>2.0</v>
      </c>
      <c r="M81" s="42"/>
      <c r="N81" s="42" t="s">
        <v>178</v>
      </c>
      <c r="O81" s="42" t="s">
        <v>163</v>
      </c>
      <c r="P81" s="42" t="s">
        <v>179</v>
      </c>
      <c r="Q81" s="42" t="s">
        <v>180</v>
      </c>
      <c r="R81" s="42" t="s">
        <v>181</v>
      </c>
      <c r="S81" s="42" t="s">
        <v>182</v>
      </c>
      <c r="T81" s="42" t="s">
        <v>183</v>
      </c>
      <c r="U81" s="42" t="s">
        <v>184</v>
      </c>
      <c r="Y81" s="52"/>
      <c r="Z81" s="66">
        <v>0.25</v>
      </c>
      <c r="AA81" s="54">
        <f t="shared" si="12"/>
        <v>0.6810344828</v>
      </c>
      <c r="AB81" s="59"/>
    </row>
    <row r="82">
      <c r="M82" s="25" t="s">
        <v>157</v>
      </c>
      <c r="N82" s="25">
        <v>5.28879310344827</v>
      </c>
      <c r="O82" s="25">
        <v>0.892751395130654</v>
      </c>
      <c r="P82" s="25">
        <v>5.92414991709339</v>
      </c>
      <c r="Q82" s="25">
        <v>0.00195414920945724</v>
      </c>
      <c r="R82" s="25">
        <v>2.99390258338644</v>
      </c>
      <c r="S82" s="25">
        <v>7.58368362351011</v>
      </c>
      <c r="T82" s="25">
        <v>2.99390258338644</v>
      </c>
      <c r="U82" s="25">
        <v>7.58368362351011</v>
      </c>
    </row>
    <row r="83">
      <c r="M83" s="25">
        <v>50.0</v>
      </c>
      <c r="N83" s="25">
        <v>0.189655172413793</v>
      </c>
      <c r="O83" s="25">
        <v>0.749622130334846</v>
      </c>
      <c r="P83" s="25">
        <v>0.253001031771936</v>
      </c>
      <c r="Q83" s="25">
        <v>0.810340035249244</v>
      </c>
      <c r="R83" s="25">
        <v>-1.73730985941596</v>
      </c>
      <c r="S83" s="25">
        <v>2.11662020424355</v>
      </c>
      <c r="T83" s="25">
        <v>-1.73730985941596</v>
      </c>
      <c r="U83" s="25">
        <v>2.11662020424355</v>
      </c>
    </row>
    <row r="84">
      <c r="M84" s="25">
        <v>100.0</v>
      </c>
      <c r="N84" s="25">
        <v>0.568965517241379</v>
      </c>
      <c r="O84" s="25">
        <v>0.697646321152316</v>
      </c>
      <c r="P84" s="25">
        <v>0.81555008604017</v>
      </c>
      <c r="Q84" s="25">
        <v>0.451842892612914</v>
      </c>
      <c r="R84" s="25">
        <v>-1.22439144361126</v>
      </c>
      <c r="S84" s="25">
        <v>2.36232247809402</v>
      </c>
      <c r="T84" s="25">
        <v>-1.22439144361126</v>
      </c>
      <c r="U84" s="25">
        <v>2.36232247809402</v>
      </c>
    </row>
    <row r="85">
      <c r="M85" s="25" t="s">
        <v>138</v>
      </c>
      <c r="N85" s="25">
        <v>-1.12931034482759</v>
      </c>
      <c r="O85" s="25">
        <v>0.76528712757616</v>
      </c>
      <c r="P85" s="25">
        <v>-1.47566880995943</v>
      </c>
      <c r="Q85" s="25">
        <v>0.200055233101752</v>
      </c>
      <c r="R85" s="25">
        <v>-3.09654353402115</v>
      </c>
      <c r="S85" s="25">
        <v>0.837922844365982</v>
      </c>
      <c r="T85" s="25">
        <v>-3.09654353402115</v>
      </c>
      <c r="U85" s="25">
        <v>0.837922844365982</v>
      </c>
    </row>
    <row r="86">
      <c r="M86" s="25" t="s">
        <v>139</v>
      </c>
      <c r="N86" s="25">
        <v>-0.693965517241379</v>
      </c>
      <c r="O86" s="25">
        <v>0.697646321152316</v>
      </c>
      <c r="P86" s="25">
        <v>-0.994723968579298</v>
      </c>
      <c r="Q86" s="25">
        <v>0.365541661353643</v>
      </c>
      <c r="R86" s="25">
        <v>-2.48732247809402</v>
      </c>
      <c r="S86" s="25">
        <v>1.09939144361126</v>
      </c>
      <c r="T86" s="25">
        <v>-2.48732247809402</v>
      </c>
      <c r="U86" s="25">
        <v>1.09939144361126</v>
      </c>
    </row>
    <row r="87">
      <c r="M87" s="25" t="s">
        <v>140</v>
      </c>
      <c r="N87" s="25">
        <v>-2.06896551724138</v>
      </c>
      <c r="O87" s="25">
        <v>0.586409701227071</v>
      </c>
      <c r="P87" s="25">
        <v>-3.52819114846163</v>
      </c>
      <c r="Q87" s="25">
        <v>0.0167720465850007</v>
      </c>
      <c r="R87" s="25">
        <v>-3.57637964345661</v>
      </c>
      <c r="S87" s="25">
        <v>-0.561551391026153</v>
      </c>
      <c r="T87" s="25">
        <v>-3.57637964345661</v>
      </c>
      <c r="U87" s="25">
        <v>-0.561551391026153</v>
      </c>
    </row>
    <row r="88">
      <c r="M88" s="25" t="s">
        <v>141</v>
      </c>
      <c r="N88" s="25">
        <v>-0.306034482758621</v>
      </c>
      <c r="O88" s="25">
        <v>0.697646321152316</v>
      </c>
      <c r="P88" s="25">
        <v>-0.438667091733728</v>
      </c>
      <c r="Q88" s="25">
        <v>0.679209458299483</v>
      </c>
      <c r="R88" s="25">
        <v>-2.09939144361126</v>
      </c>
      <c r="S88" s="25">
        <v>1.48732247809402</v>
      </c>
      <c r="T88" s="25">
        <v>-2.09939144361126</v>
      </c>
      <c r="U88" s="25">
        <v>1.48732247809402</v>
      </c>
    </row>
    <row r="89">
      <c r="M89" s="25" t="s">
        <v>142</v>
      </c>
      <c r="N89" s="25">
        <v>-0.435344827586207</v>
      </c>
      <c r="O89" s="25">
        <v>0.749622130334846</v>
      </c>
      <c r="P89" s="25">
        <v>-0.580752368385582</v>
      </c>
      <c r="Q89" s="25">
        <v>0.586598541966614</v>
      </c>
      <c r="R89" s="25">
        <v>-2.36230985941596</v>
      </c>
      <c r="S89" s="25">
        <v>1.49162020424355</v>
      </c>
      <c r="T89" s="25">
        <v>-2.36230985941596</v>
      </c>
      <c r="U89" s="25">
        <v>1.49162020424355</v>
      </c>
    </row>
    <row r="90">
      <c r="M90" s="25">
        <v>0.2</v>
      </c>
      <c r="N90" s="25">
        <v>0.120689655172414</v>
      </c>
      <c r="O90" s="25">
        <v>0.76528712757616</v>
      </c>
      <c r="P90" s="25">
        <v>0.157705063659787</v>
      </c>
      <c r="Q90" s="25">
        <v>0.880860238801241</v>
      </c>
      <c r="R90" s="25">
        <v>-1.84654353402115</v>
      </c>
      <c r="S90" s="25">
        <v>2.08792284436598</v>
      </c>
      <c r="T90" s="25">
        <v>-1.84654353402115</v>
      </c>
      <c r="U90" s="25">
        <v>2.08792284436598</v>
      </c>
    </row>
    <row r="91">
      <c r="M91" s="57">
        <v>0.25</v>
      </c>
      <c r="N91" s="57">
        <v>0.681034482758621</v>
      </c>
      <c r="O91" s="57">
        <v>0.697646321152316</v>
      </c>
      <c r="P91" s="57">
        <v>0.976188739351113</v>
      </c>
      <c r="Q91" s="57">
        <v>0.373804045610066</v>
      </c>
      <c r="R91" s="57">
        <v>-1.11232247809402</v>
      </c>
      <c r="S91" s="57">
        <v>2.47439144361126</v>
      </c>
      <c r="T91" s="57">
        <v>-1.11232247809402</v>
      </c>
      <c r="U91" s="57">
        <v>2.47439144361126</v>
      </c>
    </row>
    <row r="96">
      <c r="A96" s="22">
        <v>50.0</v>
      </c>
      <c r="B96" s="22">
        <v>100.0</v>
      </c>
      <c r="C96" s="23" t="s">
        <v>138</v>
      </c>
      <c r="D96" s="23" t="s">
        <v>139</v>
      </c>
      <c r="E96" s="22" t="s">
        <v>140</v>
      </c>
      <c r="F96" s="2" t="s">
        <v>141</v>
      </c>
      <c r="G96" s="2" t="s">
        <v>142</v>
      </c>
      <c r="H96" s="24">
        <v>0.2</v>
      </c>
      <c r="I96" s="24">
        <v>0.25</v>
      </c>
      <c r="J96" s="5" t="s">
        <v>118</v>
      </c>
      <c r="M96" s="25" t="s">
        <v>155</v>
      </c>
      <c r="Y96" s="35"/>
      <c r="Z96" s="36" t="s">
        <v>156</v>
      </c>
      <c r="AA96" s="37"/>
    </row>
    <row r="97">
      <c r="A97" s="25">
        <v>0.0</v>
      </c>
      <c r="B97" s="25">
        <v>1.0</v>
      </c>
      <c r="C97" s="25">
        <v>0.0</v>
      </c>
      <c r="D97" s="25">
        <v>0.0</v>
      </c>
      <c r="E97" s="25">
        <v>1.0</v>
      </c>
      <c r="F97" s="25">
        <v>1.0</v>
      </c>
      <c r="G97" s="25">
        <v>0.0</v>
      </c>
      <c r="H97" s="25">
        <v>0.0</v>
      </c>
      <c r="I97" s="25">
        <v>1.0</v>
      </c>
      <c r="J97" s="5">
        <v>1.0</v>
      </c>
      <c r="Y97" s="38" t="s">
        <v>157</v>
      </c>
      <c r="Z97" s="39"/>
      <c r="AA97" s="40">
        <f>N112</f>
        <v>6.538793103</v>
      </c>
      <c r="AB97" s="41" t="s">
        <v>158</v>
      </c>
    </row>
    <row r="98">
      <c r="A98" s="25">
        <v>0.0</v>
      </c>
      <c r="B98" s="25">
        <v>0.0</v>
      </c>
      <c r="C98" s="25">
        <v>1.0</v>
      </c>
      <c r="D98" s="25">
        <v>0.0</v>
      </c>
      <c r="E98" s="25">
        <v>0.0</v>
      </c>
      <c r="F98" s="25">
        <v>0.0</v>
      </c>
      <c r="G98" s="25">
        <v>0.0</v>
      </c>
      <c r="H98" s="25">
        <v>1.0</v>
      </c>
      <c r="I98" s="25">
        <v>0.0</v>
      </c>
      <c r="J98" s="5">
        <v>4.0</v>
      </c>
      <c r="M98" s="42" t="s">
        <v>159</v>
      </c>
      <c r="N98" s="43"/>
      <c r="Y98" s="44" t="s">
        <v>145</v>
      </c>
      <c r="Z98" s="45">
        <v>0.0</v>
      </c>
      <c r="AA98" s="46">
        <v>0.0</v>
      </c>
      <c r="AB98" s="47">
        <f>IF(AA98=MAX(AA98:AA100),Z98,IF(AA99=MAX(AA98:AA100),Z99,Z100))</f>
        <v>0</v>
      </c>
    </row>
    <row r="99">
      <c r="A99" s="25">
        <v>0.0</v>
      </c>
      <c r="B99" s="25">
        <v>0.0</v>
      </c>
      <c r="C99" s="25">
        <v>0.0</v>
      </c>
      <c r="D99" s="25">
        <v>0.0</v>
      </c>
      <c r="E99" s="25">
        <v>0.0</v>
      </c>
      <c r="F99" s="25">
        <v>0.0</v>
      </c>
      <c r="G99" s="25">
        <v>1.0</v>
      </c>
      <c r="H99" s="25">
        <v>0.0</v>
      </c>
      <c r="I99" s="25">
        <v>1.0</v>
      </c>
      <c r="J99" s="5">
        <v>3.0</v>
      </c>
      <c r="M99" s="25" t="s">
        <v>160</v>
      </c>
      <c r="N99" s="25">
        <v>0.963768357295388</v>
      </c>
      <c r="Y99" s="48"/>
      <c r="Z99" s="49">
        <v>50.0</v>
      </c>
      <c r="AA99" s="50">
        <f t="shared" ref="AA99:AA100" si="13">N113</f>
        <v>-1.747844828</v>
      </c>
      <c r="AB99" s="51"/>
    </row>
    <row r="100">
      <c r="A100" s="25">
        <v>1.0</v>
      </c>
      <c r="B100" s="25">
        <v>0.0</v>
      </c>
      <c r="C100" s="25">
        <v>1.0</v>
      </c>
      <c r="D100" s="25">
        <v>0.0</v>
      </c>
      <c r="E100" s="25">
        <v>1.0</v>
      </c>
      <c r="F100" s="25">
        <v>0.0</v>
      </c>
      <c r="G100" s="25">
        <v>1.0</v>
      </c>
      <c r="H100" s="25">
        <v>0.0</v>
      </c>
      <c r="I100" s="25">
        <v>1.0</v>
      </c>
      <c r="J100" s="5">
        <v>1.0</v>
      </c>
      <c r="M100" s="25" t="s">
        <v>161</v>
      </c>
      <c r="N100" s="25">
        <v>0.928849446523851</v>
      </c>
      <c r="Y100" s="52"/>
      <c r="Z100" s="53">
        <v>100.0</v>
      </c>
      <c r="AA100" s="54">
        <f t="shared" si="13"/>
        <v>-2.243534483</v>
      </c>
      <c r="AB100" s="51"/>
    </row>
    <row r="101">
      <c r="A101" s="25">
        <v>0.0</v>
      </c>
      <c r="B101" s="25">
        <v>0.0</v>
      </c>
      <c r="C101" s="25">
        <v>0.0</v>
      </c>
      <c r="D101" s="25">
        <v>0.0</v>
      </c>
      <c r="E101" s="25">
        <v>1.0</v>
      </c>
      <c r="F101" s="25">
        <v>0.0</v>
      </c>
      <c r="G101" s="25">
        <v>0.0</v>
      </c>
      <c r="H101" s="25">
        <v>1.0</v>
      </c>
      <c r="I101" s="25">
        <v>0.0</v>
      </c>
      <c r="J101" s="5">
        <v>7.0</v>
      </c>
      <c r="M101" s="25" t="s">
        <v>162</v>
      </c>
      <c r="N101" s="25">
        <v>0.800778450266784</v>
      </c>
      <c r="Y101" s="55" t="s">
        <v>146</v>
      </c>
      <c r="Z101" s="32" t="s">
        <v>147</v>
      </c>
      <c r="AA101" s="50">
        <v>0.0</v>
      </c>
      <c r="AB101" s="61" t="str">
        <f>IF(AA101=MAX(AA101:AA103),Z101,IF(AA102=MAX(AA101:AA103),Z102,Z103))</f>
        <v>Dining &amp; Grocery Cashback (3%)</v>
      </c>
    </row>
    <row r="102">
      <c r="A102" s="25">
        <v>0.0</v>
      </c>
      <c r="B102" s="25">
        <v>1.0</v>
      </c>
      <c r="C102" s="25">
        <v>0.0</v>
      </c>
      <c r="D102" s="25">
        <v>1.0</v>
      </c>
      <c r="E102" s="25">
        <v>1.0</v>
      </c>
      <c r="F102" s="25">
        <v>0.0</v>
      </c>
      <c r="G102" s="25">
        <v>1.0</v>
      </c>
      <c r="H102" s="25">
        <v>1.0</v>
      </c>
      <c r="I102" s="25">
        <v>0.0</v>
      </c>
      <c r="J102" s="5">
        <v>3.0</v>
      </c>
      <c r="M102" s="25" t="s">
        <v>163</v>
      </c>
      <c r="N102" s="25">
        <v>0.906394905180921</v>
      </c>
      <c r="Y102" s="48"/>
      <c r="Z102" s="32" t="s">
        <v>164</v>
      </c>
      <c r="AA102" s="50">
        <f t="shared" ref="AA102:AA103" si="14">N115</f>
        <v>-0.7543103448</v>
      </c>
      <c r="AB102" s="51"/>
    </row>
    <row r="103">
      <c r="A103" s="25">
        <v>0.0</v>
      </c>
      <c r="B103" s="25">
        <v>1.0</v>
      </c>
      <c r="C103" s="25">
        <v>0.0</v>
      </c>
      <c r="D103" s="25">
        <v>0.0</v>
      </c>
      <c r="E103" s="25">
        <v>0.0</v>
      </c>
      <c r="F103" s="25">
        <v>1.0</v>
      </c>
      <c r="G103" s="25">
        <v>0.0</v>
      </c>
      <c r="H103" s="25">
        <v>0.0</v>
      </c>
      <c r="I103" s="25">
        <v>0.0</v>
      </c>
      <c r="J103" s="5">
        <v>5.0</v>
      </c>
      <c r="M103" s="57" t="s">
        <v>165</v>
      </c>
      <c r="N103" s="57">
        <v>15.0</v>
      </c>
      <c r="Y103" s="52"/>
      <c r="Z103" s="58" t="s">
        <v>166</v>
      </c>
      <c r="AA103" s="54">
        <f t="shared" si="14"/>
        <v>-1.131465517</v>
      </c>
      <c r="AB103" s="59"/>
    </row>
    <row r="104">
      <c r="A104" s="25">
        <v>0.0</v>
      </c>
      <c r="B104" s="25">
        <v>1.0</v>
      </c>
      <c r="C104" s="25">
        <v>0.0</v>
      </c>
      <c r="D104" s="25">
        <v>1.0</v>
      </c>
      <c r="E104" s="25">
        <v>1.0</v>
      </c>
      <c r="F104" s="25">
        <v>0.0</v>
      </c>
      <c r="G104" s="25">
        <v>0.0</v>
      </c>
      <c r="H104" s="25">
        <v>0.0</v>
      </c>
      <c r="I104" s="25">
        <v>0.0</v>
      </c>
      <c r="J104" s="5">
        <v>3.0</v>
      </c>
      <c r="Y104" s="44" t="s">
        <v>148</v>
      </c>
      <c r="Z104" s="60" t="s">
        <v>149</v>
      </c>
      <c r="AA104" s="46">
        <v>0.0</v>
      </c>
      <c r="AB104" s="56" t="str">
        <f>IF(AA104=MAX(AA104:AA105),Z104,Z105)</f>
        <v>No</v>
      </c>
    </row>
    <row r="105">
      <c r="A105" s="25">
        <v>0.0</v>
      </c>
      <c r="B105" s="25">
        <v>1.0</v>
      </c>
      <c r="C105" s="25">
        <v>1.0</v>
      </c>
      <c r="D105" s="25">
        <v>0.0</v>
      </c>
      <c r="E105" s="25">
        <v>0.0</v>
      </c>
      <c r="F105" s="25">
        <v>0.0</v>
      </c>
      <c r="G105" s="25">
        <v>0.0</v>
      </c>
      <c r="H105" s="25">
        <v>0.0</v>
      </c>
      <c r="I105" s="25">
        <v>1.0</v>
      </c>
      <c r="J105" s="5">
        <v>1.0</v>
      </c>
      <c r="M105" s="25" t="s">
        <v>167</v>
      </c>
      <c r="Y105" s="52"/>
      <c r="Z105" s="58" t="s">
        <v>140</v>
      </c>
      <c r="AA105" s="54">
        <f>N117</f>
        <v>0.4310344828</v>
      </c>
      <c r="AB105" s="59"/>
    </row>
    <row r="106">
      <c r="A106" s="25">
        <v>1.0</v>
      </c>
      <c r="B106" s="25">
        <v>0.0</v>
      </c>
      <c r="C106" s="25">
        <v>0.0</v>
      </c>
      <c r="D106" s="25">
        <v>0.0</v>
      </c>
      <c r="E106" s="25">
        <v>1.0</v>
      </c>
      <c r="F106" s="25">
        <v>0.0</v>
      </c>
      <c r="G106" s="25">
        <v>0.0</v>
      </c>
      <c r="H106" s="25">
        <v>0.0</v>
      </c>
      <c r="I106" s="25">
        <v>0.0</v>
      </c>
      <c r="J106" s="5">
        <v>5.0</v>
      </c>
      <c r="M106" s="42"/>
      <c r="N106" s="42" t="s">
        <v>168</v>
      </c>
      <c r="O106" s="42" t="s">
        <v>169</v>
      </c>
      <c r="P106" s="42" t="s">
        <v>170</v>
      </c>
      <c r="Q106" s="42" t="s">
        <v>171</v>
      </c>
      <c r="R106" s="42" t="s">
        <v>172</v>
      </c>
      <c r="Y106" s="44" t="s">
        <v>173</v>
      </c>
      <c r="Z106" s="62" t="s">
        <v>151</v>
      </c>
      <c r="AA106" s="46">
        <v>0.0</v>
      </c>
      <c r="AB106" s="56" t="str">
        <f>IF(AA106=MAX(AA106:AA108),Z106,IF(AA107=MAX(AA106:AA108),Z107,Z108))</f>
        <v>Mastercard</v>
      </c>
    </row>
    <row r="107">
      <c r="A107" s="25">
        <v>0.0</v>
      </c>
      <c r="B107" s="25">
        <v>0.0</v>
      </c>
      <c r="C107" s="25">
        <v>0.0</v>
      </c>
      <c r="D107" s="25">
        <v>1.0</v>
      </c>
      <c r="E107" s="25">
        <v>0.0</v>
      </c>
      <c r="F107" s="25">
        <v>0.0</v>
      </c>
      <c r="G107" s="25">
        <v>1.0</v>
      </c>
      <c r="H107" s="25">
        <v>0.0</v>
      </c>
      <c r="I107" s="25">
        <v>0.0</v>
      </c>
      <c r="J107" s="5">
        <v>5.0</v>
      </c>
      <c r="M107" s="25" t="s">
        <v>174</v>
      </c>
      <c r="N107" s="25">
        <v>9.0</v>
      </c>
      <c r="O107" s="25">
        <v>53.6255747126437</v>
      </c>
      <c r="P107" s="25">
        <v>5.95839719029374</v>
      </c>
      <c r="Q107" s="25">
        <v>7.25261357895146</v>
      </c>
      <c r="R107" s="25">
        <v>0.0209778807469243</v>
      </c>
      <c r="Y107" s="48"/>
      <c r="Z107" s="23" t="s">
        <v>141</v>
      </c>
      <c r="AA107" s="50">
        <f t="shared" ref="AA107:AA108" si="15">N118</f>
        <v>0.2564655172</v>
      </c>
      <c r="AB107" s="51"/>
    </row>
    <row r="108">
      <c r="A108" s="25">
        <v>1.0</v>
      </c>
      <c r="B108" s="25">
        <v>0.0</v>
      </c>
      <c r="C108" s="25">
        <v>0.0</v>
      </c>
      <c r="D108" s="25">
        <v>1.0</v>
      </c>
      <c r="E108" s="25">
        <v>0.0</v>
      </c>
      <c r="F108" s="25">
        <v>1.0</v>
      </c>
      <c r="G108" s="25">
        <v>0.0</v>
      </c>
      <c r="H108" s="25">
        <v>1.0</v>
      </c>
      <c r="I108" s="25">
        <v>0.0</v>
      </c>
      <c r="J108" s="5">
        <v>3.0</v>
      </c>
      <c r="M108" s="25" t="s">
        <v>175</v>
      </c>
      <c r="N108" s="25">
        <v>5.0</v>
      </c>
      <c r="O108" s="25">
        <v>4.10775862068965</v>
      </c>
      <c r="P108" s="25">
        <v>0.82155172413793</v>
      </c>
      <c r="Y108" s="52"/>
      <c r="Z108" s="58" t="s">
        <v>142</v>
      </c>
      <c r="AA108" s="54">
        <f t="shared" si="15"/>
        <v>-0.2478448276</v>
      </c>
      <c r="AB108" s="59"/>
    </row>
    <row r="109">
      <c r="A109" s="25">
        <v>1.0</v>
      </c>
      <c r="B109" s="25">
        <v>0.0</v>
      </c>
      <c r="C109" s="25">
        <v>0.0</v>
      </c>
      <c r="D109" s="25">
        <v>1.0</v>
      </c>
      <c r="E109" s="25">
        <v>0.0</v>
      </c>
      <c r="F109" s="25">
        <v>0.0</v>
      </c>
      <c r="G109" s="25">
        <v>0.0</v>
      </c>
      <c r="H109" s="25">
        <v>0.0</v>
      </c>
      <c r="I109" s="25">
        <v>1.0</v>
      </c>
      <c r="J109" s="5">
        <v>1.0</v>
      </c>
      <c r="M109" s="57" t="s">
        <v>176</v>
      </c>
      <c r="N109" s="57">
        <v>14.0</v>
      </c>
      <c r="O109" s="57">
        <v>57.7333333333333</v>
      </c>
      <c r="P109" s="57"/>
      <c r="Q109" s="57"/>
      <c r="R109" s="57"/>
      <c r="Y109" s="44" t="s">
        <v>177</v>
      </c>
      <c r="Z109" s="63">
        <v>0.15</v>
      </c>
      <c r="AA109" s="46">
        <v>0.0</v>
      </c>
      <c r="AB109" s="64">
        <f>IF(AA109=MAX(AA109:AA111),Z109,IF(AA110=MAX(AA109:AA111),Z110,Z111))</f>
        <v>0.15</v>
      </c>
    </row>
    <row r="110">
      <c r="A110" s="25">
        <v>0.0</v>
      </c>
      <c r="B110" s="25">
        <v>0.0</v>
      </c>
      <c r="C110" s="25">
        <v>1.0</v>
      </c>
      <c r="D110" s="25">
        <v>0.0</v>
      </c>
      <c r="E110" s="25">
        <v>1.0</v>
      </c>
      <c r="F110" s="25">
        <v>1.0</v>
      </c>
      <c r="G110" s="25">
        <v>0.0</v>
      </c>
      <c r="H110" s="25">
        <v>0.0</v>
      </c>
      <c r="I110" s="25">
        <v>0.0</v>
      </c>
      <c r="J110" s="5">
        <v>7.0</v>
      </c>
      <c r="Y110" s="48"/>
      <c r="Z110" s="65">
        <v>0.2</v>
      </c>
      <c r="AA110" s="50">
        <f t="shared" ref="AA110:AA111" si="16">N120</f>
        <v>-0.7543103448</v>
      </c>
      <c r="AB110" s="51"/>
    </row>
    <row r="111">
      <c r="A111" s="25">
        <v>0.0</v>
      </c>
      <c r="B111" s="25">
        <v>0.0</v>
      </c>
      <c r="C111" s="25">
        <v>0.0</v>
      </c>
      <c r="D111" s="25">
        <v>1.0</v>
      </c>
      <c r="E111" s="25">
        <v>1.0</v>
      </c>
      <c r="F111" s="25">
        <v>1.0</v>
      </c>
      <c r="G111" s="25">
        <v>0.0</v>
      </c>
      <c r="H111" s="25">
        <v>0.0</v>
      </c>
      <c r="I111" s="25">
        <v>1.0</v>
      </c>
      <c r="J111" s="5">
        <v>3.0</v>
      </c>
      <c r="M111" s="42"/>
      <c r="N111" s="42" t="s">
        <v>178</v>
      </c>
      <c r="O111" s="42" t="s">
        <v>163</v>
      </c>
      <c r="P111" s="42" t="s">
        <v>179</v>
      </c>
      <c r="Q111" s="42" t="s">
        <v>180</v>
      </c>
      <c r="R111" s="42" t="s">
        <v>181</v>
      </c>
      <c r="S111" s="42" t="s">
        <v>182</v>
      </c>
      <c r="T111" s="42" t="s">
        <v>183</v>
      </c>
      <c r="U111" s="42" t="s">
        <v>184</v>
      </c>
      <c r="Y111" s="52"/>
      <c r="Z111" s="66">
        <v>0.25</v>
      </c>
      <c r="AA111" s="54">
        <f t="shared" si="16"/>
        <v>-3.131465517</v>
      </c>
      <c r="AB111" s="59"/>
    </row>
    <row r="112">
      <c r="M112" s="25" t="s">
        <v>157</v>
      </c>
      <c r="N112" s="25">
        <v>6.53879310344828</v>
      </c>
      <c r="O112" s="25">
        <v>0.724757705491047</v>
      </c>
      <c r="P112" s="25">
        <v>9.02204012997423</v>
      </c>
      <c r="Q112" s="25">
        <v>2.79414147403391E-4</v>
      </c>
      <c r="R112" s="25">
        <v>4.67574411047554</v>
      </c>
      <c r="S112" s="25">
        <v>8.40184209642102</v>
      </c>
      <c r="T112" s="25">
        <v>4.67574411047554</v>
      </c>
      <c r="U112" s="25">
        <v>8.40184209642102</v>
      </c>
    </row>
    <row r="113">
      <c r="M113" s="25">
        <v>50.0</v>
      </c>
      <c r="N113" s="25">
        <v>-1.74784482758621</v>
      </c>
      <c r="O113" s="25">
        <v>0.608561821499347</v>
      </c>
      <c r="P113" s="25">
        <v>-2.87209083093636</v>
      </c>
      <c r="Q113" s="25">
        <v>0.034909184234474</v>
      </c>
      <c r="R113" s="25">
        <v>-3.31220279179418</v>
      </c>
      <c r="S113" s="25">
        <v>-0.183486863378236</v>
      </c>
      <c r="T113" s="25">
        <v>-3.31220279179418</v>
      </c>
      <c r="U113" s="25">
        <v>-0.183486863378236</v>
      </c>
    </row>
    <row r="114">
      <c r="M114" s="25">
        <v>100.0</v>
      </c>
      <c r="N114" s="25">
        <v>-2.24353448275862</v>
      </c>
      <c r="O114" s="25">
        <v>0.566366571612722</v>
      </c>
      <c r="P114" s="25">
        <v>-3.96127630974085</v>
      </c>
      <c r="Q114" s="25">
        <v>0.0107291617929397</v>
      </c>
      <c r="R114" s="25">
        <v>-3.6994261040579</v>
      </c>
      <c r="S114" s="25">
        <v>-0.787642861459342</v>
      </c>
      <c r="T114" s="25">
        <v>-3.6994261040579</v>
      </c>
      <c r="U114" s="25">
        <v>-0.787642861459342</v>
      </c>
    </row>
    <row r="115">
      <c r="M115" s="25" t="s">
        <v>138</v>
      </c>
      <c r="N115" s="25">
        <v>-0.754310344827586</v>
      </c>
      <c r="O115" s="25">
        <v>0.62127905444803</v>
      </c>
      <c r="P115" s="25">
        <v>-1.21412485971823</v>
      </c>
      <c r="Q115" s="25">
        <v>0.278911755366858</v>
      </c>
      <c r="R115" s="25">
        <v>-2.351358997053</v>
      </c>
      <c r="S115" s="25">
        <v>0.842738307397825</v>
      </c>
      <c r="T115" s="25">
        <v>-2.351358997053</v>
      </c>
      <c r="U115" s="25">
        <v>0.842738307397825</v>
      </c>
    </row>
    <row r="116">
      <c r="M116" s="25" t="s">
        <v>139</v>
      </c>
      <c r="N116" s="25">
        <v>-1.13146551724138</v>
      </c>
      <c r="O116" s="25">
        <v>0.566366571612722</v>
      </c>
      <c r="P116" s="25">
        <v>-1.9977618276791</v>
      </c>
      <c r="Q116" s="25">
        <v>0.102231280658932</v>
      </c>
      <c r="R116" s="25">
        <v>-2.58735713854066</v>
      </c>
      <c r="S116" s="25">
        <v>0.324426104057898</v>
      </c>
      <c r="T116" s="25">
        <v>-2.58735713854066</v>
      </c>
      <c r="U116" s="25">
        <v>0.324426104057898</v>
      </c>
    </row>
    <row r="117">
      <c r="M117" s="25" t="s">
        <v>140</v>
      </c>
      <c r="N117" s="25">
        <v>0.431034482758621</v>
      </c>
      <c r="O117" s="25">
        <v>0.476061927046133</v>
      </c>
      <c r="P117" s="25">
        <v>0.905416833967594</v>
      </c>
      <c r="Q117" s="25">
        <v>0.406756652284844</v>
      </c>
      <c r="R117" s="25">
        <v>-0.792721659544188</v>
      </c>
      <c r="S117" s="25">
        <v>1.65479062506143</v>
      </c>
      <c r="T117" s="25">
        <v>-0.792721659544188</v>
      </c>
      <c r="U117" s="25">
        <v>1.65479062506143</v>
      </c>
    </row>
    <row r="118">
      <c r="M118" s="25" t="s">
        <v>141</v>
      </c>
      <c r="N118" s="25">
        <v>0.25646551724138</v>
      </c>
      <c r="O118" s="25">
        <v>0.566366571612722</v>
      </c>
      <c r="P118" s="25">
        <v>0.452826014273931</v>
      </c>
      <c r="Q118" s="25">
        <v>0.669645902311785</v>
      </c>
      <c r="R118" s="25">
        <v>-1.1994261040579</v>
      </c>
      <c r="S118" s="25">
        <v>1.71235713854066</v>
      </c>
      <c r="T118" s="25">
        <v>-1.1994261040579</v>
      </c>
      <c r="U118" s="25">
        <v>1.71235713854066</v>
      </c>
    </row>
    <row r="119">
      <c r="M119" s="25" t="s">
        <v>142</v>
      </c>
      <c r="N119" s="25">
        <v>-0.247844827586207</v>
      </c>
      <c r="O119" s="25">
        <v>0.608561821499347</v>
      </c>
      <c r="P119" s="25">
        <v>-0.407263188110583</v>
      </c>
      <c r="Q119" s="25">
        <v>0.700664535817284</v>
      </c>
      <c r="R119" s="25">
        <v>-1.81220279179418</v>
      </c>
      <c r="S119" s="25">
        <v>1.31651313662176</v>
      </c>
      <c r="T119" s="25">
        <v>-1.81220279179418</v>
      </c>
      <c r="U119" s="25">
        <v>1.31651313662176</v>
      </c>
    </row>
    <row r="120">
      <c r="M120" s="25">
        <v>0.2</v>
      </c>
      <c r="N120" s="25">
        <v>-0.754310344827585</v>
      </c>
      <c r="O120" s="25">
        <v>0.62127905444803</v>
      </c>
      <c r="P120" s="25">
        <v>-1.21412485971822</v>
      </c>
      <c r="Q120" s="25">
        <v>0.278911755366858</v>
      </c>
      <c r="R120" s="25">
        <v>-2.351358997053</v>
      </c>
      <c r="S120" s="25">
        <v>0.842738307397825</v>
      </c>
      <c r="T120" s="25">
        <v>-2.351358997053</v>
      </c>
      <c r="U120" s="25">
        <v>0.842738307397825</v>
      </c>
    </row>
    <row r="121">
      <c r="M121" s="57">
        <v>0.25</v>
      </c>
      <c r="N121" s="57">
        <v>-3.13146551724138</v>
      </c>
      <c r="O121" s="57">
        <v>0.566366571612722</v>
      </c>
      <c r="P121" s="57">
        <v>-5.52904368689093</v>
      </c>
      <c r="Q121" s="57">
        <v>0.00265300301637971</v>
      </c>
      <c r="R121" s="57">
        <v>-4.58735713854066</v>
      </c>
      <c r="S121" s="57">
        <v>-1.6755738959421</v>
      </c>
      <c r="T121" s="57">
        <v>-4.58735713854066</v>
      </c>
      <c r="U121" s="57">
        <v>-1.6755738959421</v>
      </c>
    </row>
    <row r="126">
      <c r="A126" s="22">
        <v>50.0</v>
      </c>
      <c r="B126" s="22">
        <v>100.0</v>
      </c>
      <c r="C126" s="23" t="s">
        <v>138</v>
      </c>
      <c r="D126" s="23" t="s">
        <v>139</v>
      </c>
      <c r="E126" s="22" t="s">
        <v>140</v>
      </c>
      <c r="F126" s="2" t="s">
        <v>141</v>
      </c>
      <c r="G126" s="2" t="s">
        <v>142</v>
      </c>
      <c r="H126" s="24">
        <v>0.2</v>
      </c>
      <c r="I126" s="24">
        <v>0.25</v>
      </c>
      <c r="J126" s="5" t="s">
        <v>119</v>
      </c>
      <c r="M126" s="25" t="s">
        <v>155</v>
      </c>
      <c r="Y126" s="35"/>
      <c r="Z126" s="36" t="s">
        <v>156</v>
      </c>
      <c r="AA126" s="37"/>
    </row>
    <row r="127">
      <c r="A127" s="25">
        <v>0.0</v>
      </c>
      <c r="B127" s="25">
        <v>1.0</v>
      </c>
      <c r="C127" s="25">
        <v>0.0</v>
      </c>
      <c r="D127" s="25">
        <v>0.0</v>
      </c>
      <c r="E127" s="25">
        <v>1.0</v>
      </c>
      <c r="F127" s="25">
        <v>1.0</v>
      </c>
      <c r="G127" s="25">
        <v>0.0</v>
      </c>
      <c r="H127" s="25">
        <v>0.0</v>
      </c>
      <c r="I127" s="25">
        <v>1.0</v>
      </c>
      <c r="J127" s="5">
        <v>4.0</v>
      </c>
      <c r="Y127" s="38" t="s">
        <v>157</v>
      </c>
      <c r="Z127" s="39"/>
      <c r="AA127" s="40">
        <f>N142</f>
        <v>6.158764368</v>
      </c>
      <c r="AB127" s="41" t="s">
        <v>158</v>
      </c>
    </row>
    <row r="128">
      <c r="A128" s="25">
        <v>0.0</v>
      </c>
      <c r="B128" s="25">
        <v>0.0</v>
      </c>
      <c r="C128" s="25">
        <v>1.0</v>
      </c>
      <c r="D128" s="25">
        <v>0.0</v>
      </c>
      <c r="E128" s="25">
        <v>0.0</v>
      </c>
      <c r="F128" s="25">
        <v>0.0</v>
      </c>
      <c r="G128" s="25">
        <v>0.0</v>
      </c>
      <c r="H128" s="25">
        <v>1.0</v>
      </c>
      <c r="I128" s="25">
        <v>0.0</v>
      </c>
      <c r="J128" s="5">
        <v>5.0</v>
      </c>
      <c r="M128" s="42" t="s">
        <v>159</v>
      </c>
      <c r="N128" s="43"/>
      <c r="Y128" s="44" t="s">
        <v>145</v>
      </c>
      <c r="Z128" s="45">
        <v>0.0</v>
      </c>
      <c r="AA128" s="46">
        <v>0.0</v>
      </c>
      <c r="AB128" s="47">
        <f>IF(AA128=MAX(AA128:AA130),Z128,IF(AA129=MAX(AA128:AA130),Z129,Z130))</f>
        <v>0</v>
      </c>
    </row>
    <row r="129">
      <c r="A129" s="25">
        <v>0.0</v>
      </c>
      <c r="B129" s="25">
        <v>0.0</v>
      </c>
      <c r="C129" s="25">
        <v>0.0</v>
      </c>
      <c r="D129" s="25">
        <v>0.0</v>
      </c>
      <c r="E129" s="25">
        <v>0.0</v>
      </c>
      <c r="F129" s="25">
        <v>0.0</v>
      </c>
      <c r="G129" s="25">
        <v>1.0</v>
      </c>
      <c r="H129" s="25">
        <v>0.0</v>
      </c>
      <c r="I129" s="25">
        <v>1.0</v>
      </c>
      <c r="J129" s="5">
        <v>6.0</v>
      </c>
      <c r="M129" s="25" t="s">
        <v>160</v>
      </c>
      <c r="N129" s="25">
        <v>0.897244837796909</v>
      </c>
      <c r="Y129" s="48"/>
      <c r="Z129" s="49">
        <v>50.0</v>
      </c>
      <c r="AA129" s="50">
        <f t="shared" ref="AA129:AA130" si="17">N143</f>
        <v>-0.6138649425</v>
      </c>
      <c r="AB129" s="51"/>
    </row>
    <row r="130">
      <c r="A130" s="25">
        <v>1.0</v>
      </c>
      <c r="B130" s="25">
        <v>0.0</v>
      </c>
      <c r="C130" s="25">
        <v>1.0</v>
      </c>
      <c r="D130" s="25">
        <v>0.0</v>
      </c>
      <c r="E130" s="25">
        <v>1.0</v>
      </c>
      <c r="F130" s="25">
        <v>0.0</v>
      </c>
      <c r="G130" s="25">
        <v>1.0</v>
      </c>
      <c r="H130" s="25">
        <v>0.0</v>
      </c>
      <c r="I130" s="25">
        <v>1.0</v>
      </c>
      <c r="J130" s="5">
        <v>5.0</v>
      </c>
      <c r="M130" s="25" t="s">
        <v>161</v>
      </c>
      <c r="N130" s="25">
        <v>0.805048298953202</v>
      </c>
      <c r="Y130" s="52"/>
      <c r="Z130" s="53">
        <v>100.0</v>
      </c>
      <c r="AA130" s="54">
        <f t="shared" si="17"/>
        <v>-2.008261494</v>
      </c>
      <c r="AB130" s="51"/>
    </row>
    <row r="131">
      <c r="A131" s="25">
        <v>0.0</v>
      </c>
      <c r="B131" s="25">
        <v>0.0</v>
      </c>
      <c r="C131" s="25">
        <v>0.0</v>
      </c>
      <c r="D131" s="25">
        <v>0.0</v>
      </c>
      <c r="E131" s="25">
        <v>1.0</v>
      </c>
      <c r="F131" s="25">
        <v>0.0</v>
      </c>
      <c r="G131" s="25">
        <v>0.0</v>
      </c>
      <c r="H131" s="25">
        <v>1.0</v>
      </c>
      <c r="I131" s="25">
        <v>0.0</v>
      </c>
      <c r="J131" s="5">
        <v>6.0</v>
      </c>
      <c r="M131" s="25" t="s">
        <v>162</v>
      </c>
      <c r="N131" s="25">
        <v>0.454135237068966</v>
      </c>
      <c r="Y131" s="55" t="s">
        <v>146</v>
      </c>
      <c r="Z131" s="32" t="s">
        <v>147</v>
      </c>
      <c r="AA131" s="50">
        <v>0.0</v>
      </c>
      <c r="AB131" s="56" t="str">
        <f>IF(AA131=MAX(AA131:AA133),Z131,IF(AA132=MAX(AA131:AA133),Z132,Z133))</f>
        <v>Rent Cashback (1%)</v>
      </c>
    </row>
    <row r="132">
      <c r="A132" s="25">
        <v>0.0</v>
      </c>
      <c r="B132" s="25">
        <v>1.0</v>
      </c>
      <c r="C132" s="25">
        <v>0.0</v>
      </c>
      <c r="D132" s="25">
        <v>1.0</v>
      </c>
      <c r="E132" s="25">
        <v>1.0</v>
      </c>
      <c r="F132" s="25">
        <v>0.0</v>
      </c>
      <c r="G132" s="25">
        <v>1.0</v>
      </c>
      <c r="H132" s="25">
        <v>1.0</v>
      </c>
      <c r="I132" s="25">
        <v>0.0</v>
      </c>
      <c r="J132" s="5">
        <v>3.0</v>
      </c>
      <c r="M132" s="25" t="s">
        <v>163</v>
      </c>
      <c r="N132" s="25">
        <v>0.763056843968021</v>
      </c>
      <c r="Y132" s="48"/>
      <c r="Z132" s="32" t="s">
        <v>164</v>
      </c>
      <c r="AA132" s="50">
        <f t="shared" ref="AA132:AA133" si="18">N145</f>
        <v>-0.1056034483</v>
      </c>
      <c r="AB132" s="51"/>
    </row>
    <row r="133">
      <c r="A133" s="25">
        <v>0.0</v>
      </c>
      <c r="B133" s="25">
        <v>1.0</v>
      </c>
      <c r="C133" s="25">
        <v>0.0</v>
      </c>
      <c r="D133" s="25">
        <v>0.0</v>
      </c>
      <c r="E133" s="25">
        <v>0.0</v>
      </c>
      <c r="F133" s="25">
        <v>1.0</v>
      </c>
      <c r="G133" s="25">
        <v>0.0</v>
      </c>
      <c r="H133" s="25">
        <v>0.0</v>
      </c>
      <c r="I133" s="25">
        <v>0.0</v>
      </c>
      <c r="J133" s="5">
        <v>3.0</v>
      </c>
      <c r="M133" s="57" t="s">
        <v>165</v>
      </c>
      <c r="N133" s="57">
        <v>15.0</v>
      </c>
      <c r="Y133" s="52"/>
      <c r="Z133" s="58" t="s">
        <v>166</v>
      </c>
      <c r="AA133" s="54">
        <f t="shared" si="18"/>
        <v>0.2582614943</v>
      </c>
      <c r="AB133" s="59"/>
    </row>
    <row r="134">
      <c r="A134" s="25">
        <v>0.0</v>
      </c>
      <c r="B134" s="25">
        <v>1.0</v>
      </c>
      <c r="C134" s="25">
        <v>0.0</v>
      </c>
      <c r="D134" s="25">
        <v>1.0</v>
      </c>
      <c r="E134" s="25">
        <v>1.0</v>
      </c>
      <c r="F134" s="25">
        <v>0.0</v>
      </c>
      <c r="G134" s="25">
        <v>0.0</v>
      </c>
      <c r="H134" s="25">
        <v>0.0</v>
      </c>
      <c r="I134" s="25">
        <v>0.0</v>
      </c>
      <c r="J134" s="5">
        <v>5.0</v>
      </c>
      <c r="Y134" s="44" t="s">
        <v>148</v>
      </c>
      <c r="Z134" s="60" t="s">
        <v>149</v>
      </c>
      <c r="AA134" s="46">
        <v>0.0</v>
      </c>
      <c r="AB134" s="56" t="str">
        <f>IF(AA134=MAX(AA134:AA135),Z134,Z135)</f>
        <v>No</v>
      </c>
    </row>
    <row r="135">
      <c r="A135" s="25">
        <v>0.0</v>
      </c>
      <c r="B135" s="25">
        <v>1.0</v>
      </c>
      <c r="C135" s="25">
        <v>1.0</v>
      </c>
      <c r="D135" s="25">
        <v>0.0</v>
      </c>
      <c r="E135" s="25">
        <v>0.0</v>
      </c>
      <c r="F135" s="25">
        <v>0.0</v>
      </c>
      <c r="G135" s="25">
        <v>0.0</v>
      </c>
      <c r="H135" s="25">
        <v>0.0</v>
      </c>
      <c r="I135" s="25">
        <v>1.0</v>
      </c>
      <c r="J135" s="5">
        <v>4.0</v>
      </c>
      <c r="M135" s="25" t="s">
        <v>167</v>
      </c>
      <c r="Y135" s="52"/>
      <c r="Z135" s="58" t="s">
        <v>140</v>
      </c>
      <c r="AA135" s="54">
        <f>N147</f>
        <v>0.06034482759</v>
      </c>
      <c r="AB135" s="59"/>
    </row>
    <row r="136">
      <c r="A136" s="25">
        <v>1.0</v>
      </c>
      <c r="B136" s="25">
        <v>0.0</v>
      </c>
      <c r="C136" s="25">
        <v>0.0</v>
      </c>
      <c r="D136" s="25">
        <v>0.0</v>
      </c>
      <c r="E136" s="25">
        <v>1.0</v>
      </c>
      <c r="F136" s="25">
        <v>0.0</v>
      </c>
      <c r="G136" s="25">
        <v>0.0</v>
      </c>
      <c r="H136" s="25">
        <v>0.0</v>
      </c>
      <c r="I136" s="25">
        <v>0.0</v>
      </c>
      <c r="J136" s="5">
        <v>5.0</v>
      </c>
      <c r="M136" s="42"/>
      <c r="N136" s="42" t="s">
        <v>168</v>
      </c>
      <c r="O136" s="42" t="s">
        <v>169</v>
      </c>
      <c r="P136" s="42" t="s">
        <v>170</v>
      </c>
      <c r="Q136" s="42" t="s">
        <v>171</v>
      </c>
      <c r="R136" s="42" t="s">
        <v>172</v>
      </c>
      <c r="Y136" s="44" t="s">
        <v>173</v>
      </c>
      <c r="Z136" s="62" t="s">
        <v>151</v>
      </c>
      <c r="AA136" s="46">
        <v>0.0</v>
      </c>
      <c r="AB136" s="56" t="str">
        <f>IF(AA136=MAX(AA136:AA138),Z136,IF(AA137=MAX(AA136:AA138),Z137,Z138))</f>
        <v>Visa</v>
      </c>
    </row>
    <row r="137">
      <c r="A137" s="25">
        <v>0.0</v>
      </c>
      <c r="B137" s="25">
        <v>0.0</v>
      </c>
      <c r="C137" s="25">
        <v>0.0</v>
      </c>
      <c r="D137" s="25">
        <v>1.0</v>
      </c>
      <c r="E137" s="25">
        <v>0.0</v>
      </c>
      <c r="F137" s="25">
        <v>0.0</v>
      </c>
      <c r="G137" s="25">
        <v>1.0</v>
      </c>
      <c r="H137" s="25">
        <v>0.0</v>
      </c>
      <c r="I137" s="25">
        <v>0.0</v>
      </c>
      <c r="J137" s="5">
        <v>6.0</v>
      </c>
      <c r="M137" s="25" t="s">
        <v>174</v>
      </c>
      <c r="N137" s="25">
        <v>9.0</v>
      </c>
      <c r="O137" s="25">
        <v>12.0220545977012</v>
      </c>
      <c r="P137" s="25">
        <v>1.33578384418902</v>
      </c>
      <c r="Q137" s="25">
        <v>2.29415312906985</v>
      </c>
      <c r="R137" s="25">
        <v>0.186841790489745</v>
      </c>
      <c r="Y137" s="48"/>
      <c r="Z137" s="23" t="s">
        <v>141</v>
      </c>
      <c r="AA137" s="50">
        <f t="shared" ref="AA137:AA138" si="19">N148</f>
        <v>-0.6332614943</v>
      </c>
      <c r="AB137" s="51"/>
    </row>
    <row r="138">
      <c r="A138" s="25">
        <v>1.0</v>
      </c>
      <c r="B138" s="25">
        <v>0.0</v>
      </c>
      <c r="C138" s="25">
        <v>0.0</v>
      </c>
      <c r="D138" s="25">
        <v>1.0</v>
      </c>
      <c r="E138" s="25">
        <v>0.0</v>
      </c>
      <c r="F138" s="25">
        <v>1.0</v>
      </c>
      <c r="G138" s="25">
        <v>0.0</v>
      </c>
      <c r="H138" s="25">
        <v>1.0</v>
      </c>
      <c r="I138" s="25">
        <v>0.0</v>
      </c>
      <c r="J138" s="5">
        <v>5.0</v>
      </c>
      <c r="M138" s="25" t="s">
        <v>175</v>
      </c>
      <c r="N138" s="25">
        <v>5.0</v>
      </c>
      <c r="O138" s="25">
        <v>2.91127873563218</v>
      </c>
      <c r="P138" s="25">
        <v>0.582255747126437</v>
      </c>
      <c r="Y138" s="52"/>
      <c r="Z138" s="58" t="s">
        <v>142</v>
      </c>
      <c r="AA138" s="54">
        <f t="shared" si="19"/>
        <v>-0.4888649425</v>
      </c>
      <c r="AB138" s="59"/>
    </row>
    <row r="139">
      <c r="A139" s="25">
        <v>1.0</v>
      </c>
      <c r="B139" s="25">
        <v>0.0</v>
      </c>
      <c r="C139" s="25">
        <v>0.0</v>
      </c>
      <c r="D139" s="25">
        <v>1.0</v>
      </c>
      <c r="E139" s="25">
        <v>0.0</v>
      </c>
      <c r="F139" s="25">
        <v>0.0</v>
      </c>
      <c r="G139" s="25">
        <v>0.0</v>
      </c>
      <c r="H139" s="25">
        <v>0.0</v>
      </c>
      <c r="I139" s="25">
        <v>1.0</v>
      </c>
      <c r="J139" s="5">
        <v>6.0</v>
      </c>
      <c r="M139" s="57" t="s">
        <v>176</v>
      </c>
      <c r="N139" s="57">
        <v>14.0</v>
      </c>
      <c r="O139" s="57">
        <v>14.9333333333333</v>
      </c>
      <c r="P139" s="57"/>
      <c r="Q139" s="57"/>
      <c r="R139" s="57"/>
      <c r="Y139" s="44" t="s">
        <v>177</v>
      </c>
      <c r="Z139" s="63">
        <v>0.15</v>
      </c>
      <c r="AA139" s="46">
        <v>0.0</v>
      </c>
      <c r="AB139" s="64">
        <f>IF(AA139=MAX(AA139:AA141),Z139,IF(AA140=MAX(AA139:AA141),Z140,Z141))</f>
        <v>0.25</v>
      </c>
    </row>
    <row r="140">
      <c r="A140" s="25">
        <v>0.0</v>
      </c>
      <c r="B140" s="25">
        <v>0.0</v>
      </c>
      <c r="C140" s="25">
        <v>1.0</v>
      </c>
      <c r="D140" s="25">
        <v>0.0</v>
      </c>
      <c r="E140" s="25">
        <v>1.0</v>
      </c>
      <c r="F140" s="25">
        <v>1.0</v>
      </c>
      <c r="G140" s="25">
        <v>0.0</v>
      </c>
      <c r="H140" s="25">
        <v>0.0</v>
      </c>
      <c r="I140" s="25">
        <v>0.0</v>
      </c>
      <c r="J140" s="5">
        <v>6.0</v>
      </c>
      <c r="Y140" s="48"/>
      <c r="Z140" s="65">
        <v>0.2</v>
      </c>
      <c r="AA140" s="50">
        <f t="shared" ref="AA140:AA141" si="20">N150</f>
        <v>-0.6056034483</v>
      </c>
      <c r="AB140" s="51"/>
    </row>
    <row r="141">
      <c r="A141" s="25">
        <v>0.0</v>
      </c>
      <c r="B141" s="25">
        <v>0.0</v>
      </c>
      <c r="C141" s="25">
        <v>0.0</v>
      </c>
      <c r="D141" s="25">
        <v>1.0</v>
      </c>
      <c r="E141" s="25">
        <v>1.0</v>
      </c>
      <c r="F141" s="25">
        <v>1.0</v>
      </c>
      <c r="G141" s="25">
        <v>0.0</v>
      </c>
      <c r="H141" s="25">
        <v>0.0</v>
      </c>
      <c r="I141" s="25">
        <v>1.0</v>
      </c>
      <c r="J141" s="5">
        <v>5.0</v>
      </c>
      <c r="M141" s="42"/>
      <c r="N141" s="42" t="s">
        <v>178</v>
      </c>
      <c r="O141" s="42" t="s">
        <v>163</v>
      </c>
      <c r="P141" s="42" t="s">
        <v>179</v>
      </c>
      <c r="Q141" s="42" t="s">
        <v>180</v>
      </c>
      <c r="R141" s="42" t="s">
        <v>181</v>
      </c>
      <c r="S141" s="42" t="s">
        <v>182</v>
      </c>
      <c r="T141" s="42" t="s">
        <v>183</v>
      </c>
      <c r="U141" s="42" t="s">
        <v>184</v>
      </c>
      <c r="Y141" s="52"/>
      <c r="Z141" s="66">
        <v>0.25</v>
      </c>
      <c r="AA141" s="54">
        <f t="shared" si="20"/>
        <v>0.008261494253</v>
      </c>
      <c r="AB141" s="59"/>
    </row>
    <row r="142">
      <c r="M142" s="25" t="s">
        <v>157</v>
      </c>
      <c r="N142" s="25">
        <v>6.15876436781609</v>
      </c>
      <c r="O142" s="25">
        <v>0.610143905523294</v>
      </c>
      <c r="P142" s="25">
        <v>10.0939537575713</v>
      </c>
      <c r="Q142" s="25">
        <v>1.63447829455956E-4</v>
      </c>
      <c r="R142" s="25">
        <v>4.59033952715371</v>
      </c>
      <c r="S142" s="25">
        <v>7.72718920847847</v>
      </c>
      <c r="T142" s="25">
        <v>4.59033952715371</v>
      </c>
      <c r="U142" s="25">
        <v>7.72718920847847</v>
      </c>
    </row>
    <row r="143">
      <c r="M143" s="25">
        <v>50.0</v>
      </c>
      <c r="N143" s="25">
        <v>-0.613864942528736</v>
      </c>
      <c r="O143" s="25">
        <v>0.512323337453041</v>
      </c>
      <c r="P143" s="25">
        <v>-1.19819828153935</v>
      </c>
      <c r="Q143" s="25">
        <v>0.2845318833405</v>
      </c>
      <c r="R143" s="25">
        <v>-1.9308340077581</v>
      </c>
      <c r="S143" s="25">
        <v>0.703104122700625</v>
      </c>
      <c r="T143" s="25">
        <v>-1.9308340077581</v>
      </c>
      <c r="U143" s="25">
        <v>0.703104122700625</v>
      </c>
    </row>
    <row r="144">
      <c r="M144" s="25">
        <v>100.0</v>
      </c>
      <c r="N144" s="25">
        <v>-2.00826149425287</v>
      </c>
      <c r="O144" s="25">
        <v>0.476800880271418</v>
      </c>
      <c r="P144" s="25">
        <v>-4.21195005577522</v>
      </c>
      <c r="Q144" s="25">
        <v>0.00839247870637273</v>
      </c>
      <c r="R144" s="25">
        <v>-3.23391717629399</v>
      </c>
      <c r="S144" s="25">
        <v>-0.78260581221176</v>
      </c>
      <c r="T144" s="25">
        <v>-3.23391717629399</v>
      </c>
      <c r="U144" s="25">
        <v>-0.78260581221176</v>
      </c>
    </row>
    <row r="145">
      <c r="M145" s="25" t="s">
        <v>138</v>
      </c>
      <c r="N145" s="25">
        <v>-0.105603448275862</v>
      </c>
      <c r="O145" s="25">
        <v>0.52302945636695</v>
      </c>
      <c r="P145" s="25">
        <v>-0.201907267344752</v>
      </c>
      <c r="Q145" s="25">
        <v>0.847947016914303</v>
      </c>
      <c r="R145" s="25">
        <v>-1.45009346831548</v>
      </c>
      <c r="S145" s="25">
        <v>1.23888657176376</v>
      </c>
      <c r="T145" s="25">
        <v>-1.45009346831548</v>
      </c>
      <c r="U145" s="25">
        <v>1.23888657176376</v>
      </c>
    </row>
    <row r="146">
      <c r="M146" s="25" t="s">
        <v>139</v>
      </c>
      <c r="N146" s="25">
        <v>0.258261494252874</v>
      </c>
      <c r="O146" s="25">
        <v>0.476800880271418</v>
      </c>
      <c r="P146" s="25">
        <v>0.541654818476549</v>
      </c>
      <c r="Q146" s="25">
        <v>0.611310636933774</v>
      </c>
      <c r="R146" s="25">
        <v>-0.967394187788239</v>
      </c>
      <c r="S146" s="25">
        <v>1.48391717629399</v>
      </c>
      <c r="T146" s="25">
        <v>-0.967394187788239</v>
      </c>
      <c r="U146" s="25">
        <v>1.48391717629399</v>
      </c>
    </row>
    <row r="147">
      <c r="M147" s="25" t="s">
        <v>140</v>
      </c>
      <c r="N147" s="25">
        <v>0.0603448275862067</v>
      </c>
      <c r="O147" s="25">
        <v>0.400777089002555</v>
      </c>
      <c r="P147" s="25">
        <v>0.150569554103982</v>
      </c>
      <c r="Q147" s="25">
        <v>0.886201103630607</v>
      </c>
      <c r="R147" s="25">
        <v>-0.96988547754296</v>
      </c>
      <c r="S147" s="25">
        <v>1.09057513271537</v>
      </c>
      <c r="T147" s="25">
        <v>-0.96988547754296</v>
      </c>
      <c r="U147" s="25">
        <v>1.09057513271537</v>
      </c>
    </row>
    <row r="148">
      <c r="M148" s="25" t="s">
        <v>141</v>
      </c>
      <c r="N148" s="25">
        <v>-0.633261494252874</v>
      </c>
      <c r="O148" s="25">
        <v>0.476800880271418</v>
      </c>
      <c r="P148" s="25">
        <v>-1.32814665504055</v>
      </c>
      <c r="Q148" s="25">
        <v>0.241524752301161</v>
      </c>
      <c r="R148" s="25">
        <v>-1.85891717629399</v>
      </c>
      <c r="S148" s="25">
        <v>0.59239418778824</v>
      </c>
      <c r="T148" s="25">
        <v>-1.85891717629399</v>
      </c>
      <c r="U148" s="25">
        <v>0.59239418778824</v>
      </c>
    </row>
    <row r="149">
      <c r="M149" s="25" t="s">
        <v>142</v>
      </c>
      <c r="N149" s="25">
        <v>-0.488864942528736</v>
      </c>
      <c r="O149" s="25">
        <v>0.512323337453041</v>
      </c>
      <c r="P149" s="25">
        <v>-0.954211738545963</v>
      </c>
      <c r="Q149" s="25">
        <v>0.383797749136711</v>
      </c>
      <c r="R149" s="25">
        <v>-1.8058340077581</v>
      </c>
      <c r="S149" s="25">
        <v>0.828104122700625</v>
      </c>
      <c r="T149" s="25">
        <v>-1.8058340077581</v>
      </c>
      <c r="U149" s="25">
        <v>0.828104122700625</v>
      </c>
    </row>
    <row r="150">
      <c r="M150" s="25">
        <v>0.2</v>
      </c>
      <c r="N150" s="25">
        <v>-0.605603448275862</v>
      </c>
      <c r="O150" s="25">
        <v>0.52302945636695</v>
      </c>
      <c r="P150" s="25">
        <v>-1.15787636987501</v>
      </c>
      <c r="Q150" s="25">
        <v>0.299213949097186</v>
      </c>
      <c r="R150" s="25">
        <v>-1.95009346831548</v>
      </c>
      <c r="S150" s="25">
        <v>0.738886571763755</v>
      </c>
      <c r="T150" s="25">
        <v>-1.95009346831548</v>
      </c>
      <c r="U150" s="25">
        <v>0.738886571763755</v>
      </c>
    </row>
    <row r="151">
      <c r="M151" s="57">
        <v>0.25</v>
      </c>
      <c r="N151" s="57">
        <v>0.00826149425287348</v>
      </c>
      <c r="O151" s="57">
        <v>0.476800880271418</v>
      </c>
      <c r="P151" s="57">
        <v>0.0173269274338811</v>
      </c>
      <c r="Q151" s="57">
        <v>0.986845954682423</v>
      </c>
      <c r="R151" s="57">
        <v>-1.21739418778824</v>
      </c>
      <c r="S151" s="57">
        <v>1.23391717629399</v>
      </c>
      <c r="T151" s="57">
        <v>-1.21739418778824</v>
      </c>
      <c r="U151" s="57">
        <v>1.23391717629399</v>
      </c>
    </row>
    <row r="156">
      <c r="A156" s="22">
        <v>50.0</v>
      </c>
      <c r="B156" s="22">
        <v>100.0</v>
      </c>
      <c r="C156" s="23" t="s">
        <v>138</v>
      </c>
      <c r="D156" s="23" t="s">
        <v>139</v>
      </c>
      <c r="E156" s="22" t="s">
        <v>140</v>
      </c>
      <c r="F156" s="2" t="s">
        <v>141</v>
      </c>
      <c r="G156" s="2" t="s">
        <v>142</v>
      </c>
      <c r="H156" s="24">
        <v>0.2</v>
      </c>
      <c r="I156" s="24">
        <v>0.25</v>
      </c>
      <c r="J156" s="5" t="s">
        <v>120</v>
      </c>
      <c r="M156" s="25" t="s">
        <v>155</v>
      </c>
      <c r="Y156" s="35"/>
      <c r="Z156" s="36" t="s">
        <v>156</v>
      </c>
      <c r="AA156" s="37"/>
    </row>
    <row r="157">
      <c r="A157" s="25">
        <v>0.0</v>
      </c>
      <c r="B157" s="25">
        <v>1.0</v>
      </c>
      <c r="C157" s="25">
        <v>0.0</v>
      </c>
      <c r="D157" s="25">
        <v>0.0</v>
      </c>
      <c r="E157" s="25">
        <v>1.0</v>
      </c>
      <c r="F157" s="25">
        <v>1.0</v>
      </c>
      <c r="G157" s="25">
        <v>0.0</v>
      </c>
      <c r="H157" s="25">
        <v>0.0</v>
      </c>
      <c r="I157" s="25">
        <v>1.0</v>
      </c>
      <c r="J157" s="5">
        <v>4.0</v>
      </c>
      <c r="Y157" s="38" t="s">
        <v>157</v>
      </c>
      <c r="Z157" s="39"/>
      <c r="AA157" s="40">
        <f>N172</f>
        <v>6.210488506</v>
      </c>
      <c r="AB157" s="41" t="s">
        <v>158</v>
      </c>
    </row>
    <row r="158">
      <c r="A158" s="25">
        <v>0.0</v>
      </c>
      <c r="B158" s="25">
        <v>0.0</v>
      </c>
      <c r="C158" s="25">
        <v>1.0</v>
      </c>
      <c r="D158" s="25">
        <v>0.0</v>
      </c>
      <c r="E158" s="25">
        <v>0.0</v>
      </c>
      <c r="F158" s="25">
        <v>0.0</v>
      </c>
      <c r="G158" s="25">
        <v>0.0</v>
      </c>
      <c r="H158" s="25">
        <v>1.0</v>
      </c>
      <c r="I158" s="25">
        <v>0.0</v>
      </c>
      <c r="J158" s="5">
        <v>6.0</v>
      </c>
      <c r="M158" s="42" t="s">
        <v>159</v>
      </c>
      <c r="N158" s="43"/>
      <c r="Y158" s="44" t="s">
        <v>145</v>
      </c>
      <c r="Z158" s="45">
        <v>0.0</v>
      </c>
      <c r="AA158" s="46">
        <v>0.0</v>
      </c>
      <c r="AB158" s="47">
        <f>IF(AA158=MAX(AA158:AA160),Z158,IF(AA159=MAX(AA158:AA160),Z159,Z160))</f>
        <v>0</v>
      </c>
    </row>
    <row r="159">
      <c r="A159" s="25">
        <v>0.0</v>
      </c>
      <c r="B159" s="25">
        <v>0.0</v>
      </c>
      <c r="C159" s="25">
        <v>0.0</v>
      </c>
      <c r="D159" s="25">
        <v>0.0</v>
      </c>
      <c r="E159" s="25">
        <v>0.0</v>
      </c>
      <c r="F159" s="25">
        <v>0.0</v>
      </c>
      <c r="G159" s="25">
        <v>1.0</v>
      </c>
      <c r="H159" s="25">
        <v>0.0</v>
      </c>
      <c r="I159" s="25">
        <v>1.0</v>
      </c>
      <c r="J159" s="5">
        <v>6.0</v>
      </c>
      <c r="M159" s="25" t="s">
        <v>160</v>
      </c>
      <c r="N159" s="25">
        <v>0.928787512751095</v>
      </c>
      <c r="Y159" s="48"/>
      <c r="Z159" s="49">
        <v>50.0</v>
      </c>
      <c r="AA159" s="50">
        <f t="shared" ref="AA159:AA160" si="21">N173</f>
        <v>-0.215158046</v>
      </c>
      <c r="AB159" s="51"/>
    </row>
    <row r="160">
      <c r="A160" s="25">
        <v>1.0</v>
      </c>
      <c r="B160" s="25">
        <v>0.0</v>
      </c>
      <c r="C160" s="25">
        <v>1.0</v>
      </c>
      <c r="D160" s="25">
        <v>0.0</v>
      </c>
      <c r="E160" s="25">
        <v>1.0</v>
      </c>
      <c r="F160" s="25">
        <v>0.0</v>
      </c>
      <c r="G160" s="25">
        <v>1.0</v>
      </c>
      <c r="H160" s="25">
        <v>0.0</v>
      </c>
      <c r="I160" s="25">
        <v>1.0</v>
      </c>
      <c r="J160" s="5">
        <v>5.0</v>
      </c>
      <c r="M160" s="25" t="s">
        <v>161</v>
      </c>
      <c r="N160" s="25">
        <v>0.862646243842365</v>
      </c>
      <c r="Y160" s="52"/>
      <c r="Z160" s="53">
        <v>100.0</v>
      </c>
      <c r="AA160" s="54">
        <f t="shared" si="21"/>
        <v>-0.8121408046</v>
      </c>
      <c r="AB160" s="51"/>
    </row>
    <row r="161">
      <c r="A161" s="25">
        <v>0.0</v>
      </c>
      <c r="B161" s="25">
        <v>0.0</v>
      </c>
      <c r="C161" s="25">
        <v>0.0</v>
      </c>
      <c r="D161" s="25">
        <v>0.0</v>
      </c>
      <c r="E161" s="25">
        <v>1.0</v>
      </c>
      <c r="F161" s="25">
        <v>0.0</v>
      </c>
      <c r="G161" s="25">
        <v>0.0</v>
      </c>
      <c r="H161" s="25">
        <v>1.0</v>
      </c>
      <c r="I161" s="25">
        <v>0.0</v>
      </c>
      <c r="J161" s="5">
        <v>5.0</v>
      </c>
      <c r="M161" s="25" t="s">
        <v>162</v>
      </c>
      <c r="N161" s="25">
        <v>0.615409482758621</v>
      </c>
      <c r="Y161" s="55" t="s">
        <v>146</v>
      </c>
      <c r="Z161" s="32" t="s">
        <v>147</v>
      </c>
      <c r="AA161" s="50">
        <v>0.0</v>
      </c>
      <c r="AB161" s="61" t="str">
        <f>IF(AA161=MAX(AA161:AA163),Z161,IF(AA162=MAX(AA161:AA163),Z162,Z163))</f>
        <v>Travel &amp; Transportation Cashback (2%)</v>
      </c>
    </row>
    <row r="162">
      <c r="A162" s="25">
        <v>0.0</v>
      </c>
      <c r="B162" s="25">
        <v>1.0</v>
      </c>
      <c r="C162" s="25">
        <v>0.0</v>
      </c>
      <c r="D162" s="25">
        <v>1.0</v>
      </c>
      <c r="E162" s="25">
        <v>1.0</v>
      </c>
      <c r="F162" s="25">
        <v>0.0</v>
      </c>
      <c r="G162" s="25">
        <v>1.0</v>
      </c>
      <c r="H162" s="25">
        <v>1.0</v>
      </c>
      <c r="I162" s="25">
        <v>0.0</v>
      </c>
      <c r="J162" s="5">
        <v>4.0</v>
      </c>
      <c r="M162" s="25" t="s">
        <v>163</v>
      </c>
      <c r="N162" s="25">
        <v>0.506353313567631</v>
      </c>
      <c r="Y162" s="48"/>
      <c r="Z162" s="32" t="s">
        <v>164</v>
      </c>
      <c r="AA162" s="50">
        <f t="shared" ref="AA162:AA163" si="22">N175</f>
        <v>0.09698275862</v>
      </c>
      <c r="AB162" s="51"/>
    </row>
    <row r="163">
      <c r="A163" s="25">
        <v>0.0</v>
      </c>
      <c r="B163" s="25">
        <v>1.0</v>
      </c>
      <c r="C163" s="25">
        <v>0.0</v>
      </c>
      <c r="D163" s="25">
        <v>0.0</v>
      </c>
      <c r="E163" s="25">
        <v>0.0</v>
      </c>
      <c r="F163" s="25">
        <v>1.0</v>
      </c>
      <c r="G163" s="25">
        <v>0.0</v>
      </c>
      <c r="H163" s="25">
        <v>0.0</v>
      </c>
      <c r="I163" s="25">
        <v>0.0</v>
      </c>
      <c r="J163" s="5">
        <v>6.0</v>
      </c>
      <c r="M163" s="57" t="s">
        <v>165</v>
      </c>
      <c r="N163" s="57">
        <v>15.0</v>
      </c>
      <c r="Y163" s="52"/>
      <c r="Z163" s="58" t="s">
        <v>166</v>
      </c>
      <c r="AA163" s="54">
        <f t="shared" si="22"/>
        <v>0.0621408046</v>
      </c>
      <c r="AB163" s="59"/>
    </row>
    <row r="164">
      <c r="A164" s="25">
        <v>0.0</v>
      </c>
      <c r="B164" s="25">
        <v>1.0</v>
      </c>
      <c r="C164" s="25">
        <v>0.0</v>
      </c>
      <c r="D164" s="25">
        <v>1.0</v>
      </c>
      <c r="E164" s="25">
        <v>1.0</v>
      </c>
      <c r="F164" s="25">
        <v>0.0</v>
      </c>
      <c r="G164" s="25">
        <v>0.0</v>
      </c>
      <c r="H164" s="25">
        <v>0.0</v>
      </c>
      <c r="I164" s="25">
        <v>0.0</v>
      </c>
      <c r="J164" s="5">
        <v>4.0</v>
      </c>
      <c r="Y164" s="44" t="s">
        <v>148</v>
      </c>
      <c r="Z164" s="60" t="s">
        <v>149</v>
      </c>
      <c r="AA164" s="46">
        <v>0.0</v>
      </c>
      <c r="AB164" s="61" t="str">
        <f>IF(AA164=MAX(AA164:AA165),Z164,Z165)</f>
        <v>Yes</v>
      </c>
    </row>
    <row r="165">
      <c r="A165" s="25">
        <v>0.0</v>
      </c>
      <c r="B165" s="25">
        <v>1.0</v>
      </c>
      <c r="C165" s="25">
        <v>1.0</v>
      </c>
      <c r="D165" s="25">
        <v>0.0</v>
      </c>
      <c r="E165" s="25">
        <v>0.0</v>
      </c>
      <c r="F165" s="25">
        <v>0.0</v>
      </c>
      <c r="G165" s="25">
        <v>0.0</v>
      </c>
      <c r="H165" s="25">
        <v>0.0</v>
      </c>
      <c r="I165" s="25">
        <v>1.0</v>
      </c>
      <c r="J165" s="5">
        <v>6.0</v>
      </c>
      <c r="M165" s="25" t="s">
        <v>167</v>
      </c>
      <c r="Y165" s="52"/>
      <c r="Z165" s="58" t="s">
        <v>140</v>
      </c>
      <c r="AA165" s="54">
        <f>N177</f>
        <v>-1.198275862</v>
      </c>
      <c r="AB165" s="59"/>
    </row>
    <row r="166">
      <c r="A166" s="25">
        <v>1.0</v>
      </c>
      <c r="B166" s="25">
        <v>0.0</v>
      </c>
      <c r="C166" s="25">
        <v>0.0</v>
      </c>
      <c r="D166" s="25">
        <v>0.0</v>
      </c>
      <c r="E166" s="25">
        <v>1.0</v>
      </c>
      <c r="F166" s="25">
        <v>0.0</v>
      </c>
      <c r="G166" s="25">
        <v>0.0</v>
      </c>
      <c r="H166" s="25">
        <v>0.0</v>
      </c>
      <c r="I166" s="25">
        <v>0.0</v>
      </c>
      <c r="J166" s="5">
        <v>5.0</v>
      </c>
      <c r="M166" s="42"/>
      <c r="N166" s="42" t="s">
        <v>168</v>
      </c>
      <c r="O166" s="42" t="s">
        <v>169</v>
      </c>
      <c r="P166" s="42" t="s">
        <v>170</v>
      </c>
      <c r="Q166" s="42" t="s">
        <v>171</v>
      </c>
      <c r="R166" s="42" t="s">
        <v>172</v>
      </c>
      <c r="Y166" s="44" t="s">
        <v>173</v>
      </c>
      <c r="Z166" s="62" t="s">
        <v>151</v>
      </c>
      <c r="AA166" s="46">
        <v>0.0</v>
      </c>
      <c r="AB166" s="56" t="str">
        <f>IF(AA166=MAX(AA166:AA168),Z166,IF(AA167=MAX(AA166:AA168),Z167,Z168))</f>
        <v>Mastercard</v>
      </c>
    </row>
    <row r="167">
      <c r="A167" s="25">
        <v>0.0</v>
      </c>
      <c r="B167" s="25">
        <v>0.0</v>
      </c>
      <c r="C167" s="25">
        <v>0.0</v>
      </c>
      <c r="D167" s="25">
        <v>1.0</v>
      </c>
      <c r="E167" s="25">
        <v>0.0</v>
      </c>
      <c r="F167" s="25">
        <v>0.0</v>
      </c>
      <c r="G167" s="25">
        <v>1.0</v>
      </c>
      <c r="H167" s="25">
        <v>0.0</v>
      </c>
      <c r="I167" s="25">
        <v>0.0</v>
      </c>
      <c r="J167" s="5">
        <v>6.0</v>
      </c>
      <c r="M167" s="25" t="s">
        <v>174</v>
      </c>
      <c r="N167" s="25">
        <v>9.0</v>
      </c>
      <c r="O167" s="25">
        <v>8.05136494252874</v>
      </c>
      <c r="P167" s="25">
        <v>0.894596104725415</v>
      </c>
      <c r="Q167" s="25">
        <v>3.48915040004981</v>
      </c>
      <c r="R167" s="25">
        <v>0.0911526229905728</v>
      </c>
      <c r="Y167" s="48"/>
      <c r="Z167" s="23" t="s">
        <v>141</v>
      </c>
      <c r="AA167" s="50">
        <f t="shared" ref="AA167:AA168" si="23">N178</f>
        <v>0.1878591954</v>
      </c>
      <c r="AB167" s="51"/>
    </row>
    <row r="168">
      <c r="A168" s="25">
        <v>1.0</v>
      </c>
      <c r="B168" s="25">
        <v>0.0</v>
      </c>
      <c r="C168" s="25">
        <v>0.0</v>
      </c>
      <c r="D168" s="25">
        <v>1.0</v>
      </c>
      <c r="E168" s="25">
        <v>0.0</v>
      </c>
      <c r="F168" s="25">
        <v>1.0</v>
      </c>
      <c r="G168" s="25">
        <v>0.0</v>
      </c>
      <c r="H168" s="25">
        <v>1.0</v>
      </c>
      <c r="I168" s="25">
        <v>0.0</v>
      </c>
      <c r="J168" s="5">
        <v>6.0</v>
      </c>
      <c r="M168" s="25" t="s">
        <v>175</v>
      </c>
      <c r="N168" s="25">
        <v>5.0</v>
      </c>
      <c r="O168" s="25">
        <v>1.2819683908046</v>
      </c>
      <c r="P168" s="25">
        <v>0.256393678160919</v>
      </c>
      <c r="Y168" s="52"/>
      <c r="Z168" s="58" t="s">
        <v>142</v>
      </c>
      <c r="AA168" s="54">
        <f t="shared" si="23"/>
        <v>-0.215158046</v>
      </c>
      <c r="AB168" s="59"/>
    </row>
    <row r="169">
      <c r="A169" s="25">
        <v>1.0</v>
      </c>
      <c r="B169" s="25">
        <v>0.0</v>
      </c>
      <c r="C169" s="25">
        <v>0.0</v>
      </c>
      <c r="D169" s="25">
        <v>1.0</v>
      </c>
      <c r="E169" s="25">
        <v>0.0</v>
      </c>
      <c r="F169" s="25">
        <v>0.0</v>
      </c>
      <c r="G169" s="25">
        <v>0.0</v>
      </c>
      <c r="H169" s="25">
        <v>0.0</v>
      </c>
      <c r="I169" s="25">
        <v>1.0</v>
      </c>
      <c r="J169" s="5">
        <v>6.0</v>
      </c>
      <c r="M169" s="57" t="s">
        <v>176</v>
      </c>
      <c r="N169" s="57">
        <v>14.0</v>
      </c>
      <c r="O169" s="57">
        <v>9.33333333333333</v>
      </c>
      <c r="P169" s="57"/>
      <c r="Q169" s="57"/>
      <c r="R169" s="57"/>
      <c r="Y169" s="44" t="s">
        <v>177</v>
      </c>
      <c r="Z169" s="63">
        <v>0.15</v>
      </c>
      <c r="AA169" s="46">
        <v>0.0</v>
      </c>
      <c r="AB169" s="64">
        <f>IF(AA169=MAX(AA169:AA171),Z169,IF(AA170=MAX(AA169:AA171),Z170,Z171))</f>
        <v>0.25</v>
      </c>
    </row>
    <row r="170">
      <c r="A170" s="25">
        <v>0.0</v>
      </c>
      <c r="B170" s="25">
        <v>0.0</v>
      </c>
      <c r="C170" s="25">
        <v>1.0</v>
      </c>
      <c r="D170" s="25">
        <v>0.0</v>
      </c>
      <c r="E170" s="25">
        <v>1.0</v>
      </c>
      <c r="F170" s="25">
        <v>1.0</v>
      </c>
      <c r="G170" s="25">
        <v>0.0</v>
      </c>
      <c r="H170" s="25">
        <v>0.0</v>
      </c>
      <c r="I170" s="25">
        <v>0.0</v>
      </c>
      <c r="J170" s="5">
        <v>5.0</v>
      </c>
      <c r="Y170" s="48"/>
      <c r="Z170" s="65">
        <v>0.2</v>
      </c>
      <c r="AA170" s="50">
        <f t="shared" ref="AA170:AA171" si="24">N180</f>
        <v>-0.1530172414</v>
      </c>
      <c r="AB170" s="51"/>
    </row>
    <row r="171">
      <c r="A171" s="25">
        <v>0.0</v>
      </c>
      <c r="B171" s="25">
        <v>0.0</v>
      </c>
      <c r="C171" s="25">
        <v>0.0</v>
      </c>
      <c r="D171" s="25">
        <v>1.0</v>
      </c>
      <c r="E171" s="25">
        <v>1.0</v>
      </c>
      <c r="F171" s="25">
        <v>1.0</v>
      </c>
      <c r="G171" s="25">
        <v>0.0</v>
      </c>
      <c r="H171" s="25">
        <v>0.0</v>
      </c>
      <c r="I171" s="25">
        <v>1.0</v>
      </c>
      <c r="J171" s="5">
        <v>6.0</v>
      </c>
      <c r="M171" s="42"/>
      <c r="N171" s="42" t="s">
        <v>178</v>
      </c>
      <c r="O171" s="42" t="s">
        <v>163</v>
      </c>
      <c r="P171" s="42" t="s">
        <v>179</v>
      </c>
      <c r="Q171" s="42" t="s">
        <v>180</v>
      </c>
      <c r="R171" s="42" t="s">
        <v>181</v>
      </c>
      <c r="S171" s="42" t="s">
        <v>182</v>
      </c>
      <c r="T171" s="42" t="s">
        <v>183</v>
      </c>
      <c r="U171" s="42" t="s">
        <v>184</v>
      </c>
      <c r="Y171" s="52"/>
      <c r="Z171" s="66">
        <v>0.25</v>
      </c>
      <c r="AA171" s="54">
        <f t="shared" si="24"/>
        <v>0.1871408046</v>
      </c>
      <c r="AB171" s="59"/>
    </row>
    <row r="172">
      <c r="M172" s="25" t="s">
        <v>157</v>
      </c>
      <c r="N172" s="25">
        <v>6.21048850574713</v>
      </c>
      <c r="O172" s="25">
        <v>0.404882533663198</v>
      </c>
      <c r="P172" s="25">
        <v>15.3389884457533</v>
      </c>
      <c r="Q172" s="25">
        <v>2.13670326119828E-5</v>
      </c>
      <c r="R172" s="25">
        <v>5.1697048191461</v>
      </c>
      <c r="S172" s="25">
        <v>7.25127219234815</v>
      </c>
      <c r="T172" s="25">
        <v>5.1697048191461</v>
      </c>
      <c r="U172" s="25">
        <v>7.25127219234815</v>
      </c>
    </row>
    <row r="173">
      <c r="M173" s="25">
        <v>50.0</v>
      </c>
      <c r="N173" s="25">
        <v>-0.215158045977012</v>
      </c>
      <c r="O173" s="25">
        <v>0.339970241520102</v>
      </c>
      <c r="P173" s="25">
        <v>-0.632873174472507</v>
      </c>
      <c r="Q173" s="25">
        <v>0.554626611885847</v>
      </c>
      <c r="R173" s="25">
        <v>-1.08907937348548</v>
      </c>
      <c r="S173" s="25">
        <v>0.658763281531453</v>
      </c>
      <c r="T173" s="25">
        <v>-1.08907937348548</v>
      </c>
      <c r="U173" s="25">
        <v>0.658763281531453</v>
      </c>
    </row>
    <row r="174">
      <c r="M174" s="25">
        <v>100.0</v>
      </c>
      <c r="N174" s="25">
        <v>-0.812140804597701</v>
      </c>
      <c r="O174" s="25">
        <v>0.316398060702689</v>
      </c>
      <c r="P174" s="25">
        <v>-2.56683243504722</v>
      </c>
      <c r="Q174" s="25">
        <v>0.0502280646981306</v>
      </c>
      <c r="R174" s="25">
        <v>-1.62546791227059</v>
      </c>
      <c r="S174" s="25">
        <v>0.0011863030751862</v>
      </c>
      <c r="T174" s="25">
        <v>-1.62546791227059</v>
      </c>
      <c r="U174" s="25">
        <v>0.0011863030751862</v>
      </c>
    </row>
    <row r="175">
      <c r="M175" s="25" t="s">
        <v>138</v>
      </c>
      <c r="N175" s="25">
        <v>0.0969827586206894</v>
      </c>
      <c r="O175" s="25">
        <v>0.347074664775539</v>
      </c>
      <c r="P175" s="25">
        <v>0.279429092536646</v>
      </c>
      <c r="Q175" s="25">
        <v>0.791105649042538</v>
      </c>
      <c r="R175" s="25">
        <v>-0.795201070260874</v>
      </c>
      <c r="S175" s="25">
        <v>0.989166587502253</v>
      </c>
      <c r="T175" s="25">
        <v>-0.795201070260874</v>
      </c>
      <c r="U175" s="25">
        <v>0.989166587502253</v>
      </c>
    </row>
    <row r="176">
      <c r="M176" s="25" t="s">
        <v>139</v>
      </c>
      <c r="N176" s="25">
        <v>0.0621408045977011</v>
      </c>
      <c r="O176" s="25">
        <v>0.316398060702688</v>
      </c>
      <c r="P176" s="25">
        <v>0.196400712632981</v>
      </c>
      <c r="Q176" s="25">
        <v>0.852029730382818</v>
      </c>
      <c r="R176" s="25">
        <v>-0.751186303075186</v>
      </c>
      <c r="S176" s="25">
        <v>0.875467912270588</v>
      </c>
      <c r="T176" s="25">
        <v>-0.751186303075186</v>
      </c>
      <c r="U176" s="25">
        <v>0.875467912270588</v>
      </c>
    </row>
    <row r="177">
      <c r="M177" s="25" t="s">
        <v>140</v>
      </c>
      <c r="N177" s="25">
        <v>-1.19827586206897</v>
      </c>
      <c r="O177" s="25">
        <v>0.265949789485065</v>
      </c>
      <c r="P177" s="25">
        <v>-4.50564696587684</v>
      </c>
      <c r="Q177" s="25">
        <v>0.0063663473083665</v>
      </c>
      <c r="R177" s="25">
        <v>-1.88192156011057</v>
      </c>
      <c r="S177" s="25">
        <v>-0.514630164027357</v>
      </c>
      <c r="T177" s="25">
        <v>-1.88192156011057</v>
      </c>
      <c r="U177" s="25">
        <v>-0.514630164027357</v>
      </c>
    </row>
    <row r="178">
      <c r="M178" s="25" t="s">
        <v>141</v>
      </c>
      <c r="N178" s="25">
        <v>0.187859195402299</v>
      </c>
      <c r="O178" s="25">
        <v>0.316398060702689</v>
      </c>
      <c r="P178" s="25">
        <v>0.593743194838433</v>
      </c>
      <c r="Q178" s="25">
        <v>0.578524332783118</v>
      </c>
      <c r="R178" s="25">
        <v>-0.625467912270589</v>
      </c>
      <c r="S178" s="25">
        <v>1.00118630307519</v>
      </c>
      <c r="T178" s="25">
        <v>-0.625467912270589</v>
      </c>
      <c r="U178" s="25">
        <v>1.00118630307519</v>
      </c>
    </row>
    <row r="179">
      <c r="M179" s="25" t="s">
        <v>142</v>
      </c>
      <c r="N179" s="25">
        <v>-0.215158045977012</v>
      </c>
      <c r="O179" s="25">
        <v>0.339970241520102</v>
      </c>
      <c r="P179" s="25">
        <v>-0.632873174472507</v>
      </c>
      <c r="Q179" s="25">
        <v>0.554626611885847</v>
      </c>
      <c r="R179" s="25">
        <v>-1.08907937348548</v>
      </c>
      <c r="S179" s="25">
        <v>0.658763281531453</v>
      </c>
      <c r="T179" s="25">
        <v>-1.08907937348548</v>
      </c>
      <c r="U179" s="25">
        <v>0.658763281531453</v>
      </c>
    </row>
    <row r="180">
      <c r="M180" s="25">
        <v>0.2</v>
      </c>
      <c r="N180" s="25">
        <v>-0.15301724137931</v>
      </c>
      <c r="O180" s="25">
        <v>0.347074664775539</v>
      </c>
      <c r="P180" s="25">
        <v>-0.440877012668931</v>
      </c>
      <c r="Q180" s="25">
        <v>0.677712204769392</v>
      </c>
      <c r="R180" s="25">
        <v>-1.04520107026087</v>
      </c>
      <c r="S180" s="25">
        <v>0.739166587502253</v>
      </c>
      <c r="T180" s="25">
        <v>-1.04520107026087</v>
      </c>
      <c r="U180" s="25">
        <v>0.739166587502253</v>
      </c>
    </row>
    <row r="181">
      <c r="M181" s="57">
        <v>0.25</v>
      </c>
      <c r="N181" s="57">
        <v>0.187140804597701</v>
      </c>
      <c r="O181" s="57">
        <v>0.316398060702689</v>
      </c>
      <c r="P181" s="57">
        <v>0.591472666368688</v>
      </c>
      <c r="Q181" s="57">
        <v>0.579930545678321</v>
      </c>
      <c r="R181" s="57">
        <v>-0.626186303075186</v>
      </c>
      <c r="S181" s="57">
        <v>1.00046791227059</v>
      </c>
      <c r="T181" s="57">
        <v>-0.626186303075186</v>
      </c>
      <c r="U181" s="57">
        <v>1.00046791227059</v>
      </c>
    </row>
    <row r="186">
      <c r="A186" s="22">
        <v>50.0</v>
      </c>
      <c r="B186" s="22">
        <v>100.0</v>
      </c>
      <c r="C186" s="23" t="s">
        <v>138</v>
      </c>
      <c r="D186" s="23" t="s">
        <v>139</v>
      </c>
      <c r="E186" s="22" t="s">
        <v>140</v>
      </c>
      <c r="F186" s="2" t="s">
        <v>141</v>
      </c>
      <c r="G186" s="2" t="s">
        <v>142</v>
      </c>
      <c r="H186" s="24">
        <v>0.2</v>
      </c>
      <c r="I186" s="24">
        <v>0.25</v>
      </c>
      <c r="J186" s="5" t="s">
        <v>121</v>
      </c>
      <c r="M186" s="25" t="s">
        <v>155</v>
      </c>
      <c r="Y186" s="35"/>
      <c r="Z186" s="36" t="s">
        <v>156</v>
      </c>
      <c r="AA186" s="37"/>
    </row>
    <row r="187">
      <c r="A187" s="25">
        <v>0.0</v>
      </c>
      <c r="B187" s="25">
        <v>1.0</v>
      </c>
      <c r="C187" s="25">
        <v>0.0</v>
      </c>
      <c r="D187" s="25">
        <v>0.0</v>
      </c>
      <c r="E187" s="25">
        <v>1.0</v>
      </c>
      <c r="F187" s="25">
        <v>1.0</v>
      </c>
      <c r="G187" s="25">
        <v>0.0</v>
      </c>
      <c r="H187" s="25">
        <v>0.0</v>
      </c>
      <c r="I187" s="25">
        <v>1.0</v>
      </c>
      <c r="J187" s="5">
        <v>4.0</v>
      </c>
      <c r="Y187" s="38" t="s">
        <v>157</v>
      </c>
      <c r="Z187" s="39"/>
      <c r="AA187" s="40">
        <f>N202</f>
        <v>6.035201149</v>
      </c>
      <c r="AB187" s="41" t="s">
        <v>158</v>
      </c>
    </row>
    <row r="188">
      <c r="A188" s="25">
        <v>0.0</v>
      </c>
      <c r="B188" s="25">
        <v>0.0</v>
      </c>
      <c r="C188" s="25">
        <v>1.0</v>
      </c>
      <c r="D188" s="25">
        <v>0.0</v>
      </c>
      <c r="E188" s="25">
        <v>0.0</v>
      </c>
      <c r="F188" s="25">
        <v>0.0</v>
      </c>
      <c r="G188" s="25">
        <v>0.0</v>
      </c>
      <c r="H188" s="25">
        <v>1.0</v>
      </c>
      <c r="I188" s="25">
        <v>0.0</v>
      </c>
      <c r="J188" s="5">
        <v>6.0</v>
      </c>
      <c r="M188" s="42" t="s">
        <v>159</v>
      </c>
      <c r="N188" s="43"/>
      <c r="Y188" s="44" t="s">
        <v>145</v>
      </c>
      <c r="Z188" s="45">
        <v>0.0</v>
      </c>
      <c r="AA188" s="46">
        <v>0.0</v>
      </c>
      <c r="AB188" s="47">
        <f>IF(AA188=MAX(AA188:AA190),Z188,IF(AA189=MAX(AA188:AA190),Z189,Z190))</f>
        <v>50</v>
      </c>
    </row>
    <row r="189">
      <c r="A189" s="25">
        <v>0.0</v>
      </c>
      <c r="B189" s="25">
        <v>0.0</v>
      </c>
      <c r="C189" s="25">
        <v>0.0</v>
      </c>
      <c r="D189" s="25">
        <v>0.0</v>
      </c>
      <c r="E189" s="25">
        <v>0.0</v>
      </c>
      <c r="F189" s="25">
        <v>0.0</v>
      </c>
      <c r="G189" s="25">
        <v>1.0</v>
      </c>
      <c r="H189" s="25">
        <v>0.0</v>
      </c>
      <c r="I189" s="25">
        <v>1.0</v>
      </c>
      <c r="J189" s="5">
        <v>7.0</v>
      </c>
      <c r="M189" s="25" t="s">
        <v>160</v>
      </c>
      <c r="N189" s="25">
        <v>0.800889013537524</v>
      </c>
      <c r="Y189" s="48"/>
      <c r="Z189" s="49">
        <v>50.0</v>
      </c>
      <c r="AA189" s="50">
        <f t="shared" ref="AA189:AA190" si="25">N203</f>
        <v>0.3746408046</v>
      </c>
      <c r="AB189" s="51"/>
    </row>
    <row r="190">
      <c r="A190" s="25">
        <v>1.0</v>
      </c>
      <c r="B190" s="25">
        <v>0.0</v>
      </c>
      <c r="C190" s="25">
        <v>1.0</v>
      </c>
      <c r="D190" s="25">
        <v>0.0</v>
      </c>
      <c r="E190" s="25">
        <v>1.0</v>
      </c>
      <c r="F190" s="25">
        <v>0.0</v>
      </c>
      <c r="G190" s="25">
        <v>1.0</v>
      </c>
      <c r="H190" s="25">
        <v>0.0</v>
      </c>
      <c r="I190" s="25">
        <v>1.0</v>
      </c>
      <c r="J190" s="5">
        <v>6.0</v>
      </c>
      <c r="M190" s="25" t="s">
        <v>161</v>
      </c>
      <c r="N190" s="25">
        <v>0.641423212005109</v>
      </c>
      <c r="Y190" s="52"/>
      <c r="Z190" s="53">
        <v>100.0</v>
      </c>
      <c r="AA190" s="54">
        <f t="shared" si="25"/>
        <v>0.2905890805</v>
      </c>
      <c r="AB190" s="51"/>
    </row>
    <row r="191">
      <c r="A191" s="25">
        <v>0.0</v>
      </c>
      <c r="B191" s="25">
        <v>0.0</v>
      </c>
      <c r="C191" s="25">
        <v>0.0</v>
      </c>
      <c r="D191" s="25">
        <v>0.0</v>
      </c>
      <c r="E191" s="25">
        <v>1.0</v>
      </c>
      <c r="F191" s="25">
        <v>0.0</v>
      </c>
      <c r="G191" s="25">
        <v>0.0</v>
      </c>
      <c r="H191" s="25">
        <v>1.0</v>
      </c>
      <c r="I191" s="25">
        <v>0.0</v>
      </c>
      <c r="J191" s="5">
        <v>4.0</v>
      </c>
      <c r="M191" s="25" t="s">
        <v>162</v>
      </c>
      <c r="N191" s="25">
        <v>-0.00401500638569545</v>
      </c>
      <c r="Y191" s="55" t="s">
        <v>146</v>
      </c>
      <c r="Z191" s="32" t="s">
        <v>147</v>
      </c>
      <c r="AA191" s="50">
        <v>0.0</v>
      </c>
      <c r="AB191" s="61" t="str">
        <f>IF(AA191=MAX(AA191:AA193),Z191,IF(AA192=MAX(AA191:AA193),Z192,Z193))</f>
        <v>Dining &amp; Grocery Cashback (3%)</v>
      </c>
    </row>
    <row r="192">
      <c r="A192" s="25">
        <v>0.0</v>
      </c>
      <c r="B192" s="25">
        <v>1.0</v>
      </c>
      <c r="C192" s="25">
        <v>0.0</v>
      </c>
      <c r="D192" s="25">
        <v>1.0</v>
      </c>
      <c r="E192" s="25">
        <v>1.0</v>
      </c>
      <c r="F192" s="25">
        <v>0.0</v>
      </c>
      <c r="G192" s="25">
        <v>1.0</v>
      </c>
      <c r="H192" s="25">
        <v>1.0</v>
      </c>
      <c r="I192" s="25">
        <v>0.0</v>
      </c>
      <c r="J192" s="5">
        <v>5.0</v>
      </c>
      <c r="M192" s="25" t="s">
        <v>163</v>
      </c>
      <c r="N192" s="25">
        <v>1.13616743342767</v>
      </c>
      <c r="Y192" s="48"/>
      <c r="Z192" s="32" t="s">
        <v>164</v>
      </c>
      <c r="AA192" s="50">
        <f t="shared" ref="AA192:AA193" si="26">N205</f>
        <v>-0.1659482759</v>
      </c>
      <c r="AB192" s="51"/>
    </row>
    <row r="193">
      <c r="A193" s="25">
        <v>0.0</v>
      </c>
      <c r="B193" s="25">
        <v>1.0</v>
      </c>
      <c r="C193" s="25">
        <v>0.0</v>
      </c>
      <c r="D193" s="25">
        <v>0.0</v>
      </c>
      <c r="E193" s="25">
        <v>0.0</v>
      </c>
      <c r="F193" s="25">
        <v>1.0</v>
      </c>
      <c r="G193" s="25">
        <v>0.0</v>
      </c>
      <c r="H193" s="25">
        <v>0.0</v>
      </c>
      <c r="I193" s="25">
        <v>0.0</v>
      </c>
      <c r="J193" s="5">
        <v>7.0</v>
      </c>
      <c r="M193" s="57" t="s">
        <v>165</v>
      </c>
      <c r="N193" s="57">
        <v>15.0</v>
      </c>
      <c r="Y193" s="52"/>
      <c r="Z193" s="58" t="s">
        <v>166</v>
      </c>
      <c r="AA193" s="54">
        <f t="shared" si="26"/>
        <v>-1.16558908</v>
      </c>
      <c r="AB193" s="59"/>
    </row>
    <row r="194">
      <c r="A194" s="25">
        <v>0.0</v>
      </c>
      <c r="B194" s="25">
        <v>1.0</v>
      </c>
      <c r="C194" s="25">
        <v>0.0</v>
      </c>
      <c r="D194" s="25">
        <v>1.0</v>
      </c>
      <c r="E194" s="25">
        <v>1.0</v>
      </c>
      <c r="F194" s="25">
        <v>0.0</v>
      </c>
      <c r="G194" s="25">
        <v>0.0</v>
      </c>
      <c r="H194" s="25">
        <v>0.0</v>
      </c>
      <c r="I194" s="25">
        <v>0.0</v>
      </c>
      <c r="J194" s="5">
        <v>5.0</v>
      </c>
      <c r="Y194" s="44" t="s">
        <v>148</v>
      </c>
      <c r="Z194" s="60" t="s">
        <v>149</v>
      </c>
      <c r="AA194" s="46">
        <v>0.0</v>
      </c>
      <c r="AB194" s="61" t="str">
        <f>IF(AA194=MAX(AA194:AA195),Z194,Z195)</f>
        <v>Yes</v>
      </c>
    </row>
    <row r="195">
      <c r="A195" s="25">
        <v>0.0</v>
      </c>
      <c r="B195" s="25">
        <v>1.0</v>
      </c>
      <c r="C195" s="25">
        <v>1.0</v>
      </c>
      <c r="D195" s="25">
        <v>0.0</v>
      </c>
      <c r="E195" s="25">
        <v>0.0</v>
      </c>
      <c r="F195" s="25">
        <v>0.0</v>
      </c>
      <c r="G195" s="25">
        <v>0.0</v>
      </c>
      <c r="H195" s="25">
        <v>0.0</v>
      </c>
      <c r="I195" s="25">
        <v>1.0</v>
      </c>
      <c r="J195" s="5">
        <v>4.0</v>
      </c>
      <c r="M195" s="25" t="s">
        <v>167</v>
      </c>
      <c r="Y195" s="52"/>
      <c r="Z195" s="58" t="s">
        <v>140</v>
      </c>
      <c r="AA195" s="54">
        <f>N207</f>
        <v>-0.9051724138</v>
      </c>
      <c r="AB195" s="59"/>
    </row>
    <row r="196">
      <c r="A196" s="25">
        <v>1.0</v>
      </c>
      <c r="B196" s="25">
        <v>0.0</v>
      </c>
      <c r="C196" s="25">
        <v>0.0</v>
      </c>
      <c r="D196" s="25">
        <v>0.0</v>
      </c>
      <c r="E196" s="25">
        <v>1.0</v>
      </c>
      <c r="F196" s="25">
        <v>0.0</v>
      </c>
      <c r="G196" s="25">
        <v>0.0</v>
      </c>
      <c r="H196" s="25">
        <v>0.0</v>
      </c>
      <c r="I196" s="25">
        <v>0.0</v>
      </c>
      <c r="J196" s="5">
        <v>5.0</v>
      </c>
      <c r="M196" s="42"/>
      <c r="N196" s="42" t="s">
        <v>168</v>
      </c>
      <c r="O196" s="42" t="s">
        <v>169</v>
      </c>
      <c r="P196" s="42" t="s">
        <v>170</v>
      </c>
      <c r="Q196" s="42" t="s">
        <v>171</v>
      </c>
      <c r="R196" s="42" t="s">
        <v>172</v>
      </c>
      <c r="Y196" s="44" t="s">
        <v>173</v>
      </c>
      <c r="Z196" s="62" t="s">
        <v>151</v>
      </c>
      <c r="AA196" s="46">
        <v>0.0</v>
      </c>
      <c r="AB196" s="56" t="str">
        <f>IF(AA196=MAX(AA196:AA198),Z196,IF(AA197=MAX(AA196:AA198),Z197,Z198))</f>
        <v>Amex</v>
      </c>
    </row>
    <row r="197">
      <c r="A197" s="25">
        <v>0.0</v>
      </c>
      <c r="B197" s="25">
        <v>0.0</v>
      </c>
      <c r="C197" s="25">
        <v>0.0</v>
      </c>
      <c r="D197" s="25">
        <v>1.0</v>
      </c>
      <c r="E197" s="25">
        <v>0.0</v>
      </c>
      <c r="F197" s="25">
        <v>0.0</v>
      </c>
      <c r="G197" s="25">
        <v>1.0</v>
      </c>
      <c r="H197" s="25">
        <v>0.0</v>
      </c>
      <c r="I197" s="25">
        <v>0.0</v>
      </c>
      <c r="J197" s="5">
        <v>5.0</v>
      </c>
      <c r="M197" s="25" t="s">
        <v>174</v>
      </c>
      <c r="N197" s="25">
        <v>9.0</v>
      </c>
      <c r="O197" s="25">
        <v>11.545617816092</v>
      </c>
      <c r="P197" s="25">
        <v>1.28284642401022</v>
      </c>
      <c r="Q197" s="25">
        <v>0.993779410218835</v>
      </c>
      <c r="R197" s="25">
        <v>0.533509195981986</v>
      </c>
      <c r="Y197" s="48"/>
      <c r="Z197" s="23" t="s">
        <v>141</v>
      </c>
      <c r="AA197" s="50">
        <f t="shared" ref="AA197:AA198" si="27">N208</f>
        <v>-0.08441091954</v>
      </c>
      <c r="AB197" s="51"/>
    </row>
    <row r="198">
      <c r="A198" s="25">
        <v>1.0</v>
      </c>
      <c r="B198" s="25">
        <v>0.0</v>
      </c>
      <c r="C198" s="25">
        <v>0.0</v>
      </c>
      <c r="D198" s="25">
        <v>1.0</v>
      </c>
      <c r="E198" s="25">
        <v>0.0</v>
      </c>
      <c r="F198" s="25">
        <v>1.0</v>
      </c>
      <c r="G198" s="25">
        <v>0.0</v>
      </c>
      <c r="H198" s="25">
        <v>1.0</v>
      </c>
      <c r="I198" s="25">
        <v>0.0</v>
      </c>
      <c r="J198" s="5">
        <v>4.0</v>
      </c>
      <c r="M198" s="25" t="s">
        <v>175</v>
      </c>
      <c r="N198" s="25">
        <v>5.0</v>
      </c>
      <c r="O198" s="25">
        <v>6.45438218390804</v>
      </c>
      <c r="P198" s="25">
        <v>1.29087643678161</v>
      </c>
      <c r="Y198" s="52"/>
      <c r="Z198" s="58" t="s">
        <v>142</v>
      </c>
      <c r="AA198" s="54">
        <f t="shared" si="27"/>
        <v>1.249640805</v>
      </c>
      <c r="AB198" s="59"/>
    </row>
    <row r="199">
      <c r="A199" s="25">
        <v>1.0</v>
      </c>
      <c r="B199" s="25">
        <v>0.0</v>
      </c>
      <c r="C199" s="25">
        <v>0.0</v>
      </c>
      <c r="D199" s="25">
        <v>1.0</v>
      </c>
      <c r="E199" s="25">
        <v>0.0</v>
      </c>
      <c r="F199" s="25">
        <v>0.0</v>
      </c>
      <c r="G199" s="25">
        <v>0.0</v>
      </c>
      <c r="H199" s="25">
        <v>0.0</v>
      </c>
      <c r="I199" s="25">
        <v>1.0</v>
      </c>
      <c r="J199" s="5">
        <v>5.0</v>
      </c>
      <c r="M199" s="57" t="s">
        <v>176</v>
      </c>
      <c r="N199" s="57">
        <v>14.0</v>
      </c>
      <c r="O199" s="57">
        <v>18.0</v>
      </c>
      <c r="P199" s="57"/>
      <c r="Q199" s="57"/>
      <c r="R199" s="57"/>
      <c r="Y199" s="44" t="s">
        <v>177</v>
      </c>
      <c r="Z199" s="63">
        <v>0.15</v>
      </c>
      <c r="AA199" s="46">
        <v>0.0</v>
      </c>
      <c r="AB199" s="64">
        <f>IF(AA199=MAX(AA199:AA201),Z199,IF(AA200=MAX(AA199:AA201),Z200,Z201))</f>
        <v>0.15</v>
      </c>
    </row>
    <row r="200">
      <c r="A200" s="25">
        <v>0.0</v>
      </c>
      <c r="B200" s="25">
        <v>0.0</v>
      </c>
      <c r="C200" s="25">
        <v>1.0</v>
      </c>
      <c r="D200" s="25">
        <v>0.0</v>
      </c>
      <c r="E200" s="25">
        <v>1.0</v>
      </c>
      <c r="F200" s="25">
        <v>1.0</v>
      </c>
      <c r="G200" s="25">
        <v>0.0</v>
      </c>
      <c r="H200" s="25">
        <v>0.0</v>
      </c>
      <c r="I200" s="25">
        <v>0.0</v>
      </c>
      <c r="J200" s="5">
        <v>5.0</v>
      </c>
      <c r="Y200" s="48"/>
      <c r="Z200" s="65">
        <v>0.2</v>
      </c>
      <c r="AA200" s="50">
        <f t="shared" ref="AA200:AA201" si="28">N210</f>
        <v>-0.6659482759</v>
      </c>
      <c r="AB200" s="51"/>
    </row>
    <row r="201">
      <c r="A201" s="25">
        <v>0.0</v>
      </c>
      <c r="B201" s="25">
        <v>0.0</v>
      </c>
      <c r="C201" s="25">
        <v>0.0</v>
      </c>
      <c r="D201" s="25">
        <v>1.0</v>
      </c>
      <c r="E201" s="25">
        <v>1.0</v>
      </c>
      <c r="F201" s="25">
        <v>1.0</v>
      </c>
      <c r="G201" s="25">
        <v>0.0</v>
      </c>
      <c r="H201" s="25">
        <v>0.0</v>
      </c>
      <c r="I201" s="25">
        <v>1.0</v>
      </c>
      <c r="J201" s="5">
        <v>3.0</v>
      </c>
      <c r="M201" s="42"/>
      <c r="N201" s="42" t="s">
        <v>178</v>
      </c>
      <c r="O201" s="42" t="s">
        <v>163</v>
      </c>
      <c r="P201" s="42" t="s">
        <v>179</v>
      </c>
      <c r="Q201" s="42" t="s">
        <v>180</v>
      </c>
      <c r="R201" s="42" t="s">
        <v>181</v>
      </c>
      <c r="S201" s="42" t="s">
        <v>182</v>
      </c>
      <c r="T201" s="42" t="s">
        <v>183</v>
      </c>
      <c r="U201" s="42" t="s">
        <v>184</v>
      </c>
      <c r="Y201" s="52"/>
      <c r="Z201" s="66">
        <v>0.25</v>
      </c>
      <c r="AA201" s="54">
        <f t="shared" si="28"/>
        <v>-0.9155890805</v>
      </c>
      <c r="AB201" s="59"/>
    </row>
    <row r="202">
      <c r="M202" s="25" t="s">
        <v>157</v>
      </c>
      <c r="N202" s="25">
        <v>6.03520114942529</v>
      </c>
      <c r="O202" s="25">
        <v>0.908484919098617</v>
      </c>
      <c r="P202" s="25">
        <v>6.64314951470335</v>
      </c>
      <c r="Q202" s="25">
        <v>0.00116514731679086</v>
      </c>
      <c r="R202" s="25">
        <v>3.69986631844086</v>
      </c>
      <c r="S202" s="25">
        <v>8.37053598040972</v>
      </c>
      <c r="T202" s="25">
        <v>3.69986631844086</v>
      </c>
      <c r="U202" s="25">
        <v>8.37053598040972</v>
      </c>
    </row>
    <row r="203">
      <c r="M203" s="25">
        <v>50.0</v>
      </c>
      <c r="N203" s="25">
        <v>0.374640804597701</v>
      </c>
      <c r="O203" s="25">
        <v>0.762833196504967</v>
      </c>
      <c r="P203" s="25">
        <v>0.491117594664434</v>
      </c>
      <c r="Q203" s="25">
        <v>0.64413901160009</v>
      </c>
      <c r="R203" s="25">
        <v>-1.58628435395835</v>
      </c>
      <c r="S203" s="25">
        <v>2.33556596315376</v>
      </c>
      <c r="T203" s="25">
        <v>-1.58628435395835</v>
      </c>
      <c r="U203" s="25">
        <v>2.33556596315376</v>
      </c>
    </row>
    <row r="204">
      <c r="M204" s="25">
        <v>100.0</v>
      </c>
      <c r="N204" s="25">
        <v>0.29058908045977</v>
      </c>
      <c r="O204" s="25">
        <v>0.709941384677145</v>
      </c>
      <c r="P204" s="25">
        <v>0.409314186680242</v>
      </c>
      <c r="Q204" s="25">
        <v>0.699253300262214</v>
      </c>
      <c r="R204" s="25">
        <v>-1.53437334735779</v>
      </c>
      <c r="S204" s="25">
        <v>2.11555150827733</v>
      </c>
      <c r="T204" s="25">
        <v>-1.53437334735779</v>
      </c>
      <c r="U204" s="25">
        <v>2.11555150827733</v>
      </c>
    </row>
    <row r="205">
      <c r="M205" s="25" t="s">
        <v>138</v>
      </c>
      <c r="N205" s="25">
        <v>-0.165948275862069</v>
      </c>
      <c r="O205" s="25">
        <v>0.778774267926504</v>
      </c>
      <c r="P205" s="25">
        <v>-0.213089058918072</v>
      </c>
      <c r="Q205" s="25">
        <v>0.839673283738345</v>
      </c>
      <c r="R205" s="25">
        <v>-2.16785126305491</v>
      </c>
      <c r="S205" s="25">
        <v>1.83595471133077</v>
      </c>
      <c r="T205" s="25">
        <v>-2.16785126305491</v>
      </c>
      <c r="U205" s="25">
        <v>1.83595471133077</v>
      </c>
    </row>
    <row r="206">
      <c r="M206" s="25" t="s">
        <v>139</v>
      </c>
      <c r="N206" s="25">
        <v>-1.16558908045977</v>
      </c>
      <c r="O206" s="25">
        <v>0.709941384677145</v>
      </c>
      <c r="P206" s="25">
        <v>-1.64181030380394</v>
      </c>
      <c r="Q206" s="25">
        <v>0.161552243499095</v>
      </c>
      <c r="R206" s="25">
        <v>-2.99055150827733</v>
      </c>
      <c r="S206" s="25">
        <v>0.659373347357792</v>
      </c>
      <c r="T206" s="25">
        <v>-2.99055150827733</v>
      </c>
      <c r="U206" s="25">
        <v>0.659373347357792</v>
      </c>
    </row>
    <row r="207">
      <c r="M207" s="25" t="s">
        <v>140</v>
      </c>
      <c r="N207" s="25">
        <v>-0.905172413793104</v>
      </c>
      <c r="O207" s="25">
        <v>0.596744371259092</v>
      </c>
      <c r="P207" s="25">
        <v>-1.51685119690907</v>
      </c>
      <c r="Q207" s="25">
        <v>0.189750797128835</v>
      </c>
      <c r="R207" s="25">
        <v>-2.43915265506994</v>
      </c>
      <c r="S207" s="25">
        <v>0.628807827483732</v>
      </c>
      <c r="T207" s="25">
        <v>-2.43915265506994</v>
      </c>
      <c r="U207" s="25">
        <v>0.628807827483732</v>
      </c>
    </row>
    <row r="208">
      <c r="M208" s="25" t="s">
        <v>141</v>
      </c>
      <c r="N208" s="25">
        <v>-0.0844109195402293</v>
      </c>
      <c r="O208" s="25">
        <v>0.709941384677145</v>
      </c>
      <c r="P208" s="25">
        <v>-0.118898434944198</v>
      </c>
      <c r="Q208" s="25">
        <v>0.909985078782576</v>
      </c>
      <c r="R208" s="25">
        <v>-1.90937334735779</v>
      </c>
      <c r="S208" s="25">
        <v>1.74055150827733</v>
      </c>
      <c r="T208" s="25">
        <v>-1.90937334735779</v>
      </c>
      <c r="U208" s="25">
        <v>1.74055150827733</v>
      </c>
    </row>
    <row r="209">
      <c r="M209" s="25" t="s">
        <v>142</v>
      </c>
      <c r="N209" s="25">
        <v>1.2496408045977</v>
      </c>
      <c r="O209" s="25">
        <v>0.762833196504967</v>
      </c>
      <c r="P209" s="25">
        <v>1.63815734596123</v>
      </c>
      <c r="Q209" s="25">
        <v>0.162314702695365</v>
      </c>
      <c r="R209" s="25">
        <v>-0.711284353958354</v>
      </c>
      <c r="S209" s="25">
        <v>3.21056596315376</v>
      </c>
      <c r="T209" s="25">
        <v>-0.711284353958354</v>
      </c>
      <c r="U209" s="25">
        <v>3.21056596315376</v>
      </c>
    </row>
    <row r="210">
      <c r="M210" s="25">
        <v>0.2</v>
      </c>
      <c r="N210" s="25">
        <v>-0.665948275862069</v>
      </c>
      <c r="O210" s="25">
        <v>0.778774267926504</v>
      </c>
      <c r="P210" s="25">
        <v>-0.855123626047846</v>
      </c>
      <c r="Q210" s="25">
        <v>0.431539931685025</v>
      </c>
      <c r="R210" s="25">
        <v>-2.66785126305491</v>
      </c>
      <c r="S210" s="25">
        <v>1.33595471133077</v>
      </c>
      <c r="T210" s="25">
        <v>-2.66785126305491</v>
      </c>
      <c r="U210" s="25">
        <v>1.33595471133077</v>
      </c>
    </row>
    <row r="211">
      <c r="M211" s="57">
        <v>0.25</v>
      </c>
      <c r="N211" s="57">
        <v>-0.91558908045977</v>
      </c>
      <c r="O211" s="57">
        <v>0.709941384677145</v>
      </c>
      <c r="P211" s="57">
        <v>-1.28966855605431</v>
      </c>
      <c r="Q211" s="57">
        <v>0.253594996664173</v>
      </c>
      <c r="R211" s="57">
        <v>-2.74055150827733</v>
      </c>
      <c r="S211" s="57">
        <v>0.909373347357792</v>
      </c>
      <c r="T211" s="57">
        <v>-2.74055150827733</v>
      </c>
      <c r="U211" s="57">
        <v>0.909373347357792</v>
      </c>
    </row>
    <row r="216">
      <c r="A216" s="22">
        <v>50.0</v>
      </c>
      <c r="B216" s="22">
        <v>100.0</v>
      </c>
      <c r="C216" s="23" t="s">
        <v>138</v>
      </c>
      <c r="D216" s="23" t="s">
        <v>139</v>
      </c>
      <c r="E216" s="22" t="s">
        <v>140</v>
      </c>
      <c r="F216" s="2" t="s">
        <v>141</v>
      </c>
      <c r="G216" s="2" t="s">
        <v>142</v>
      </c>
      <c r="H216" s="24">
        <v>0.2</v>
      </c>
      <c r="I216" s="24">
        <v>0.25</v>
      </c>
      <c r="J216" s="5" t="s">
        <v>122</v>
      </c>
      <c r="M216" s="25" t="s">
        <v>155</v>
      </c>
      <c r="Y216" s="35"/>
      <c r="Z216" s="36" t="s">
        <v>156</v>
      </c>
      <c r="AA216" s="37"/>
    </row>
    <row r="217">
      <c r="A217" s="25">
        <v>0.0</v>
      </c>
      <c r="B217" s="25">
        <v>1.0</v>
      </c>
      <c r="C217" s="25">
        <v>0.0</v>
      </c>
      <c r="D217" s="25">
        <v>0.0</v>
      </c>
      <c r="E217" s="25">
        <v>1.0</v>
      </c>
      <c r="F217" s="25">
        <v>1.0</v>
      </c>
      <c r="G217" s="25">
        <v>0.0</v>
      </c>
      <c r="H217" s="25">
        <v>0.0</v>
      </c>
      <c r="I217" s="25">
        <v>1.0</v>
      </c>
      <c r="J217" s="5">
        <v>2.0</v>
      </c>
      <c r="Y217" s="38" t="s">
        <v>157</v>
      </c>
      <c r="Z217" s="39"/>
      <c r="AA217" s="40">
        <f>N232</f>
        <v>5.313936782</v>
      </c>
      <c r="AB217" s="41" t="s">
        <v>158</v>
      </c>
    </row>
    <row r="218">
      <c r="A218" s="25">
        <v>0.0</v>
      </c>
      <c r="B218" s="25">
        <v>0.0</v>
      </c>
      <c r="C218" s="25">
        <v>1.0</v>
      </c>
      <c r="D218" s="25">
        <v>0.0</v>
      </c>
      <c r="E218" s="25">
        <v>0.0</v>
      </c>
      <c r="F218" s="25">
        <v>0.0</v>
      </c>
      <c r="G218" s="25">
        <v>0.0</v>
      </c>
      <c r="H218" s="25">
        <v>1.0</v>
      </c>
      <c r="I218" s="25">
        <v>0.0</v>
      </c>
      <c r="J218" s="5">
        <v>4.0</v>
      </c>
      <c r="M218" s="42" t="s">
        <v>159</v>
      </c>
      <c r="N218" s="43"/>
      <c r="Y218" s="44" t="s">
        <v>145</v>
      </c>
      <c r="Z218" s="45">
        <v>0.0</v>
      </c>
      <c r="AA218" s="46">
        <v>0.0</v>
      </c>
      <c r="AB218" s="47">
        <f>IF(AA218=MAX(AA218:AA220),Z218,IF(AA219=MAX(AA218:AA220),Z219,Z220))</f>
        <v>0</v>
      </c>
    </row>
    <row r="219">
      <c r="A219" s="25">
        <v>0.0</v>
      </c>
      <c r="B219" s="25">
        <v>0.0</v>
      </c>
      <c r="C219" s="25">
        <v>0.0</v>
      </c>
      <c r="D219" s="25">
        <v>0.0</v>
      </c>
      <c r="E219" s="25">
        <v>0.0</v>
      </c>
      <c r="F219" s="25">
        <v>0.0</v>
      </c>
      <c r="G219" s="25">
        <v>1.0</v>
      </c>
      <c r="H219" s="25">
        <v>0.0</v>
      </c>
      <c r="I219" s="25">
        <v>1.0</v>
      </c>
      <c r="J219" s="5">
        <v>4.0</v>
      </c>
      <c r="M219" s="25" t="s">
        <v>160</v>
      </c>
      <c r="N219" s="25">
        <v>0.919178266962259</v>
      </c>
      <c r="Y219" s="48"/>
      <c r="Z219" s="49">
        <v>50.0</v>
      </c>
      <c r="AA219" s="50">
        <f t="shared" ref="AA219:AA220" si="29">N233</f>
        <v>-0.2302442529</v>
      </c>
      <c r="AB219" s="51"/>
    </row>
    <row r="220">
      <c r="A220" s="25">
        <v>1.0</v>
      </c>
      <c r="B220" s="25">
        <v>0.0</v>
      </c>
      <c r="C220" s="25">
        <v>1.0</v>
      </c>
      <c r="D220" s="25">
        <v>0.0</v>
      </c>
      <c r="E220" s="25">
        <v>1.0</v>
      </c>
      <c r="F220" s="25">
        <v>0.0</v>
      </c>
      <c r="G220" s="25">
        <v>1.0</v>
      </c>
      <c r="H220" s="25">
        <v>0.0</v>
      </c>
      <c r="I220" s="25">
        <v>1.0</v>
      </c>
      <c r="J220" s="5">
        <v>3.0</v>
      </c>
      <c r="M220" s="25" t="s">
        <v>161</v>
      </c>
      <c r="N220" s="25">
        <v>0.844888686455742</v>
      </c>
      <c r="Y220" s="52"/>
      <c r="Z220" s="53">
        <v>100.0</v>
      </c>
      <c r="AA220" s="54">
        <f t="shared" si="29"/>
        <v>-0.8573994253</v>
      </c>
      <c r="AB220" s="51"/>
    </row>
    <row r="221">
      <c r="A221" s="25">
        <v>0.0</v>
      </c>
      <c r="B221" s="25">
        <v>0.0</v>
      </c>
      <c r="C221" s="25">
        <v>0.0</v>
      </c>
      <c r="D221" s="25">
        <v>0.0</v>
      </c>
      <c r="E221" s="25">
        <v>1.0</v>
      </c>
      <c r="F221" s="25">
        <v>0.0</v>
      </c>
      <c r="G221" s="25">
        <v>0.0</v>
      </c>
      <c r="H221" s="25">
        <v>1.0</v>
      </c>
      <c r="I221" s="25">
        <v>0.0</v>
      </c>
      <c r="J221" s="5">
        <v>5.0</v>
      </c>
      <c r="M221" s="25" t="s">
        <v>162</v>
      </c>
      <c r="N221" s="25">
        <v>0.565688322076076</v>
      </c>
      <c r="Y221" s="55" t="s">
        <v>146</v>
      </c>
      <c r="Z221" s="32" t="s">
        <v>147</v>
      </c>
      <c r="AA221" s="50">
        <v>0.0</v>
      </c>
      <c r="AB221" s="61" t="str">
        <f>IF(AA221=MAX(AA221:AA223),Z221,IF(AA222=MAX(AA221:AA223),Z222,Z223))</f>
        <v>Dining &amp; Grocery Cashback (3%)</v>
      </c>
    </row>
    <row r="222">
      <c r="A222" s="25">
        <v>0.0</v>
      </c>
      <c r="B222" s="25">
        <v>1.0</v>
      </c>
      <c r="C222" s="25">
        <v>0.0</v>
      </c>
      <c r="D222" s="25">
        <v>1.0</v>
      </c>
      <c r="E222" s="25">
        <v>1.0</v>
      </c>
      <c r="F222" s="25">
        <v>0.0</v>
      </c>
      <c r="G222" s="25">
        <v>1.0</v>
      </c>
      <c r="H222" s="25">
        <v>1.0</v>
      </c>
      <c r="I222" s="25">
        <v>0.0</v>
      </c>
      <c r="J222" s="5">
        <v>4.0</v>
      </c>
      <c r="M222" s="25" t="s">
        <v>163</v>
      </c>
      <c r="N222" s="25">
        <v>0.633420290461093</v>
      </c>
      <c r="Y222" s="48"/>
      <c r="Z222" s="32" t="s">
        <v>164</v>
      </c>
      <c r="AA222" s="50">
        <f t="shared" ref="AA222:AA223" si="30">N235</f>
        <v>-0.3728448276</v>
      </c>
      <c r="AB222" s="51"/>
    </row>
    <row r="223">
      <c r="A223" s="25">
        <v>0.0</v>
      </c>
      <c r="B223" s="25">
        <v>1.0</v>
      </c>
      <c r="C223" s="25">
        <v>0.0</v>
      </c>
      <c r="D223" s="25">
        <v>0.0</v>
      </c>
      <c r="E223" s="25">
        <v>0.0</v>
      </c>
      <c r="F223" s="25">
        <v>1.0</v>
      </c>
      <c r="G223" s="25">
        <v>0.0</v>
      </c>
      <c r="H223" s="25">
        <v>0.0</v>
      </c>
      <c r="I223" s="25">
        <v>0.0</v>
      </c>
      <c r="J223" s="5">
        <v>5.0</v>
      </c>
      <c r="M223" s="57" t="s">
        <v>165</v>
      </c>
      <c r="N223" s="57">
        <v>15.0</v>
      </c>
      <c r="Y223" s="52"/>
      <c r="Z223" s="58" t="s">
        <v>166</v>
      </c>
      <c r="AA223" s="54">
        <f t="shared" si="30"/>
        <v>-0.1426005747</v>
      </c>
      <c r="AB223" s="59"/>
    </row>
    <row r="224">
      <c r="A224" s="25">
        <v>0.0</v>
      </c>
      <c r="B224" s="25">
        <v>1.0</v>
      </c>
      <c r="C224" s="25">
        <v>0.0</v>
      </c>
      <c r="D224" s="25">
        <v>1.0</v>
      </c>
      <c r="E224" s="25">
        <v>1.0</v>
      </c>
      <c r="F224" s="25">
        <v>0.0</v>
      </c>
      <c r="G224" s="25">
        <v>0.0</v>
      </c>
      <c r="H224" s="25">
        <v>0.0</v>
      </c>
      <c r="I224" s="25">
        <v>0.0</v>
      </c>
      <c r="J224" s="5">
        <v>4.0</v>
      </c>
      <c r="Y224" s="44" t="s">
        <v>148</v>
      </c>
      <c r="Z224" s="60" t="s">
        <v>149</v>
      </c>
      <c r="AA224" s="46">
        <v>0.0</v>
      </c>
      <c r="AB224" s="61" t="str">
        <f>IF(AA224=MAX(AA224:AA225),Z224,Z225)</f>
        <v>Yes</v>
      </c>
    </row>
    <row r="225">
      <c r="A225" s="25">
        <v>0.0</v>
      </c>
      <c r="B225" s="25">
        <v>1.0</v>
      </c>
      <c r="C225" s="25">
        <v>1.0</v>
      </c>
      <c r="D225" s="25">
        <v>0.0</v>
      </c>
      <c r="E225" s="25">
        <v>0.0</v>
      </c>
      <c r="F225" s="25">
        <v>0.0</v>
      </c>
      <c r="G225" s="25">
        <v>0.0</v>
      </c>
      <c r="H225" s="25">
        <v>0.0</v>
      </c>
      <c r="I225" s="25">
        <v>1.0</v>
      </c>
      <c r="J225" s="5">
        <v>3.0</v>
      </c>
      <c r="M225" s="25" t="s">
        <v>167</v>
      </c>
      <c r="Y225" s="52"/>
      <c r="Z225" s="58" t="s">
        <v>140</v>
      </c>
      <c r="AA225" s="54">
        <f>N237</f>
        <v>-0.2155172414</v>
      </c>
      <c r="AB225" s="59"/>
    </row>
    <row r="226">
      <c r="A226" s="25">
        <v>1.0</v>
      </c>
      <c r="B226" s="25">
        <v>0.0</v>
      </c>
      <c r="C226" s="25">
        <v>0.0</v>
      </c>
      <c r="D226" s="25">
        <v>0.0</v>
      </c>
      <c r="E226" s="25">
        <v>1.0</v>
      </c>
      <c r="F226" s="25">
        <v>0.0</v>
      </c>
      <c r="G226" s="25">
        <v>0.0</v>
      </c>
      <c r="H226" s="25">
        <v>0.0</v>
      </c>
      <c r="I226" s="25">
        <v>0.0</v>
      </c>
      <c r="J226" s="5">
        <v>5.0</v>
      </c>
      <c r="M226" s="42"/>
      <c r="N226" s="42" t="s">
        <v>168</v>
      </c>
      <c r="O226" s="42" t="s">
        <v>169</v>
      </c>
      <c r="P226" s="42" t="s">
        <v>170</v>
      </c>
      <c r="Q226" s="42" t="s">
        <v>171</v>
      </c>
      <c r="R226" s="42" t="s">
        <v>172</v>
      </c>
      <c r="Y226" s="44" t="s">
        <v>173</v>
      </c>
      <c r="Z226" s="62" t="s">
        <v>151</v>
      </c>
      <c r="AA226" s="46">
        <v>0.0</v>
      </c>
      <c r="AB226" s="56" t="str">
        <f>IF(AA226=MAX(AA226:AA228),Z226,IF(AA227=MAX(AA226:AA228),Z227,Z228))</f>
        <v>Mastercard</v>
      </c>
    </row>
    <row r="227">
      <c r="A227" s="25">
        <v>0.0</v>
      </c>
      <c r="B227" s="25">
        <v>0.0</v>
      </c>
      <c r="C227" s="25">
        <v>0.0</v>
      </c>
      <c r="D227" s="25">
        <v>1.0</v>
      </c>
      <c r="E227" s="25">
        <v>0.0</v>
      </c>
      <c r="F227" s="25">
        <v>0.0</v>
      </c>
      <c r="G227" s="25">
        <v>1.0</v>
      </c>
      <c r="H227" s="25">
        <v>0.0</v>
      </c>
      <c r="I227" s="25">
        <v>0.0</v>
      </c>
      <c r="J227" s="5">
        <v>5.0</v>
      </c>
      <c r="M227" s="25" t="s">
        <v>174</v>
      </c>
      <c r="N227" s="25">
        <v>9.0</v>
      </c>
      <c r="O227" s="25">
        <v>10.9272270114943</v>
      </c>
      <c r="P227" s="25">
        <v>1.21413633461047</v>
      </c>
      <c r="Q227" s="25">
        <v>3.02610166119567</v>
      </c>
      <c r="R227" s="25">
        <v>0.117727953698133</v>
      </c>
      <c r="Y227" s="48"/>
      <c r="Z227" s="23" t="s">
        <v>141</v>
      </c>
      <c r="AA227" s="50">
        <f t="shared" ref="AA227:AA228" si="31">N238</f>
        <v>0.2676005747</v>
      </c>
      <c r="AB227" s="51"/>
    </row>
    <row r="228">
      <c r="A228" s="25">
        <v>1.0</v>
      </c>
      <c r="B228" s="25">
        <v>0.0</v>
      </c>
      <c r="C228" s="25">
        <v>0.0</v>
      </c>
      <c r="D228" s="25">
        <v>1.0</v>
      </c>
      <c r="E228" s="25">
        <v>0.0</v>
      </c>
      <c r="F228" s="25">
        <v>1.0</v>
      </c>
      <c r="G228" s="25">
        <v>0.0</v>
      </c>
      <c r="H228" s="25">
        <v>1.0</v>
      </c>
      <c r="I228" s="25">
        <v>0.0</v>
      </c>
      <c r="J228" s="5">
        <v>5.0</v>
      </c>
      <c r="M228" s="25" t="s">
        <v>175</v>
      </c>
      <c r="N228" s="25">
        <v>5.0</v>
      </c>
      <c r="O228" s="25">
        <v>2.00610632183908</v>
      </c>
      <c r="P228" s="25">
        <v>0.401221264367815</v>
      </c>
      <c r="Y228" s="52"/>
      <c r="Z228" s="58" t="s">
        <v>142</v>
      </c>
      <c r="AA228" s="54">
        <f t="shared" si="31"/>
        <v>0.1447557471</v>
      </c>
      <c r="AB228" s="59"/>
    </row>
    <row r="229">
      <c r="A229" s="25">
        <v>1.0</v>
      </c>
      <c r="B229" s="25">
        <v>0.0</v>
      </c>
      <c r="C229" s="25">
        <v>0.0</v>
      </c>
      <c r="D229" s="25">
        <v>1.0</v>
      </c>
      <c r="E229" s="25">
        <v>0.0</v>
      </c>
      <c r="F229" s="25">
        <v>0.0</v>
      </c>
      <c r="G229" s="25">
        <v>0.0</v>
      </c>
      <c r="H229" s="25">
        <v>0.0</v>
      </c>
      <c r="I229" s="25">
        <v>1.0</v>
      </c>
      <c r="J229" s="5">
        <v>3.0</v>
      </c>
      <c r="M229" s="57" t="s">
        <v>176</v>
      </c>
      <c r="N229" s="57">
        <v>14.0</v>
      </c>
      <c r="O229" s="57">
        <v>12.9333333333333</v>
      </c>
      <c r="P229" s="57"/>
      <c r="Q229" s="57"/>
      <c r="R229" s="57"/>
      <c r="Y229" s="44" t="s">
        <v>177</v>
      </c>
      <c r="Z229" s="63">
        <v>0.15</v>
      </c>
      <c r="AA229" s="46">
        <v>0.0</v>
      </c>
      <c r="AB229" s="64">
        <f>IF(AA229=MAX(AA229:AA231),Z229,IF(AA230=MAX(AA229:AA231),Z230,Z231))</f>
        <v>0.15</v>
      </c>
    </row>
    <row r="230">
      <c r="A230" s="25">
        <v>0.0</v>
      </c>
      <c r="B230" s="25">
        <v>0.0</v>
      </c>
      <c r="C230" s="25">
        <v>1.0</v>
      </c>
      <c r="D230" s="25">
        <v>0.0</v>
      </c>
      <c r="E230" s="25">
        <v>1.0</v>
      </c>
      <c r="F230" s="25">
        <v>1.0</v>
      </c>
      <c r="G230" s="25">
        <v>0.0</v>
      </c>
      <c r="H230" s="25">
        <v>0.0</v>
      </c>
      <c r="I230" s="25">
        <v>0.0</v>
      </c>
      <c r="J230" s="5">
        <v>5.0</v>
      </c>
      <c r="Y230" s="48"/>
      <c r="Z230" s="65">
        <v>0.2</v>
      </c>
      <c r="AA230" s="50">
        <f t="shared" ref="AA230:AA231" si="32">N240</f>
        <v>-0.3728448276</v>
      </c>
      <c r="AB230" s="51"/>
    </row>
    <row r="231">
      <c r="A231" s="25">
        <v>0.0</v>
      </c>
      <c r="B231" s="25">
        <v>0.0</v>
      </c>
      <c r="C231" s="25">
        <v>0.0</v>
      </c>
      <c r="D231" s="25">
        <v>1.0</v>
      </c>
      <c r="E231" s="25">
        <v>1.0</v>
      </c>
      <c r="F231" s="25">
        <v>1.0</v>
      </c>
      <c r="G231" s="25">
        <v>0.0</v>
      </c>
      <c r="H231" s="25">
        <v>0.0</v>
      </c>
      <c r="I231" s="25">
        <v>1.0</v>
      </c>
      <c r="J231" s="5">
        <v>4.0</v>
      </c>
      <c r="M231" s="42"/>
      <c r="N231" s="42" t="s">
        <v>178</v>
      </c>
      <c r="O231" s="42" t="s">
        <v>163</v>
      </c>
      <c r="P231" s="42" t="s">
        <v>179</v>
      </c>
      <c r="Q231" s="42" t="s">
        <v>180</v>
      </c>
      <c r="R231" s="42" t="s">
        <v>181</v>
      </c>
      <c r="S231" s="42" t="s">
        <v>182</v>
      </c>
      <c r="T231" s="42" t="s">
        <v>183</v>
      </c>
      <c r="U231" s="42" t="s">
        <v>184</v>
      </c>
      <c r="Y231" s="52"/>
      <c r="Z231" s="66">
        <v>0.25</v>
      </c>
      <c r="AA231" s="54">
        <f t="shared" si="32"/>
        <v>-1.642600575</v>
      </c>
      <c r="AB231" s="59"/>
    </row>
    <row r="232">
      <c r="M232" s="25" t="s">
        <v>157</v>
      </c>
      <c r="N232" s="25">
        <v>5.31393678160919</v>
      </c>
      <c r="O232" s="25">
        <v>0.506485896712339</v>
      </c>
      <c r="P232" s="25">
        <v>10.4917764070088</v>
      </c>
      <c r="Q232" s="25">
        <v>1.35734343814465E-4</v>
      </c>
      <c r="R232" s="25">
        <v>4.01197333551448</v>
      </c>
      <c r="S232" s="25">
        <v>6.6159002277039</v>
      </c>
      <c r="T232" s="25">
        <v>4.01197333551448</v>
      </c>
      <c r="U232" s="25">
        <v>6.6159002277039</v>
      </c>
    </row>
    <row r="233">
      <c r="M233" s="25">
        <v>50.0</v>
      </c>
      <c r="N233" s="25">
        <v>-0.230244252873563</v>
      </c>
      <c r="O233" s="25">
        <v>0.42528417087771</v>
      </c>
      <c r="P233" s="25">
        <v>-0.541389190193419</v>
      </c>
      <c r="Q233" s="25">
        <v>0.611480610711374</v>
      </c>
      <c r="R233" s="25">
        <v>-1.32347201751545</v>
      </c>
      <c r="S233" s="25">
        <v>0.862983511768328</v>
      </c>
      <c r="T233" s="25">
        <v>-1.32347201751545</v>
      </c>
      <c r="U233" s="25">
        <v>0.862983511768328</v>
      </c>
    </row>
    <row r="234">
      <c r="M234" s="25">
        <v>100.0</v>
      </c>
      <c r="N234" s="25">
        <v>-0.857399425287356</v>
      </c>
      <c r="O234" s="25">
        <v>0.395796662412589</v>
      </c>
      <c r="P234" s="25">
        <v>-2.16626239357617</v>
      </c>
      <c r="Q234" s="25">
        <v>0.0825315860353718</v>
      </c>
      <c r="R234" s="25">
        <v>-1.87482713629064</v>
      </c>
      <c r="S234" s="25">
        <v>0.160028285715925</v>
      </c>
      <c r="T234" s="25">
        <v>-1.87482713629064</v>
      </c>
      <c r="U234" s="25">
        <v>0.160028285715925</v>
      </c>
    </row>
    <row r="235">
      <c r="M235" s="25" t="s">
        <v>138</v>
      </c>
      <c r="N235" s="25">
        <v>-0.372844827586207</v>
      </c>
      <c r="O235" s="25">
        <v>0.434171415656086</v>
      </c>
      <c r="P235" s="25">
        <v>-0.858750286503299</v>
      </c>
      <c r="Q235" s="25">
        <v>0.429714648574426</v>
      </c>
      <c r="R235" s="25">
        <v>-1.48891798222425</v>
      </c>
      <c r="S235" s="25">
        <v>0.743228327051832</v>
      </c>
      <c r="T235" s="25">
        <v>-1.48891798222425</v>
      </c>
      <c r="U235" s="25">
        <v>0.743228327051832</v>
      </c>
    </row>
    <row r="236">
      <c r="M236" s="25" t="s">
        <v>139</v>
      </c>
      <c r="N236" s="25">
        <v>-0.142600574712644</v>
      </c>
      <c r="O236" s="25">
        <v>0.395796662412589</v>
      </c>
      <c r="P236" s="25">
        <v>-0.360287461353054</v>
      </c>
      <c r="Q236" s="25">
        <v>0.733351697913129</v>
      </c>
      <c r="R236" s="25">
        <v>-1.16002828571592</v>
      </c>
      <c r="S236" s="25">
        <v>0.874827136290636</v>
      </c>
      <c r="T236" s="25">
        <v>-1.16002828571592</v>
      </c>
      <c r="U236" s="25">
        <v>0.874827136290636</v>
      </c>
    </row>
    <row r="237">
      <c r="M237" s="25" t="s">
        <v>140</v>
      </c>
      <c r="N237" s="25">
        <v>-0.21551724137931</v>
      </c>
      <c r="O237" s="25">
        <v>0.332688635365662</v>
      </c>
      <c r="P237" s="25">
        <v>-0.647804639140837</v>
      </c>
      <c r="Q237" s="25">
        <v>0.545677610971253</v>
      </c>
      <c r="R237" s="25">
        <v>-1.07072060437291</v>
      </c>
      <c r="S237" s="25">
        <v>0.639686121614294</v>
      </c>
      <c r="T237" s="25">
        <v>-1.07072060437291</v>
      </c>
      <c r="U237" s="25">
        <v>0.639686121614294</v>
      </c>
    </row>
    <row r="238">
      <c r="M238" s="25" t="s">
        <v>141</v>
      </c>
      <c r="N238" s="25">
        <v>0.267600574712644</v>
      </c>
      <c r="O238" s="25">
        <v>0.395796662412589</v>
      </c>
      <c r="P238" s="25">
        <v>0.676106193219209</v>
      </c>
      <c r="Q238" s="25">
        <v>0.528977608326461</v>
      </c>
      <c r="R238" s="25">
        <v>-0.749827136290637</v>
      </c>
      <c r="S238" s="25">
        <v>1.28502828571592</v>
      </c>
      <c r="T238" s="25">
        <v>-0.749827136290637</v>
      </c>
      <c r="U238" s="25">
        <v>1.28502828571592</v>
      </c>
    </row>
    <row r="239">
      <c r="M239" s="25" t="s">
        <v>142</v>
      </c>
      <c r="N239" s="25">
        <v>0.144755747126436</v>
      </c>
      <c r="O239" s="25">
        <v>0.425284170877709</v>
      </c>
      <c r="P239" s="25">
        <v>0.340374171057641</v>
      </c>
      <c r="Q239" s="25">
        <v>0.747409106585237</v>
      </c>
      <c r="R239" s="25">
        <v>-0.948472017515454</v>
      </c>
      <c r="S239" s="25">
        <v>1.23798351176833</v>
      </c>
      <c r="T239" s="25">
        <v>-0.948472017515454</v>
      </c>
      <c r="U239" s="25">
        <v>1.23798351176833</v>
      </c>
    </row>
    <row r="240">
      <c r="M240" s="25">
        <v>0.2</v>
      </c>
      <c r="N240" s="25">
        <v>-0.372844827586207</v>
      </c>
      <c r="O240" s="25">
        <v>0.434171415656086</v>
      </c>
      <c r="P240" s="25">
        <v>-0.858750286503299</v>
      </c>
      <c r="Q240" s="25">
        <v>0.429714648574426</v>
      </c>
      <c r="R240" s="25">
        <v>-1.48891798222425</v>
      </c>
      <c r="S240" s="25">
        <v>0.743228327051832</v>
      </c>
      <c r="T240" s="25">
        <v>-1.48891798222425</v>
      </c>
      <c r="U240" s="25">
        <v>0.743228327051832</v>
      </c>
    </row>
    <row r="241">
      <c r="M241" s="57">
        <v>0.25</v>
      </c>
      <c r="N241" s="57">
        <v>-1.64260057471264</v>
      </c>
      <c r="O241" s="57">
        <v>0.395796662412589</v>
      </c>
      <c r="P241" s="57">
        <v>-4.1501122437469</v>
      </c>
      <c r="Q241" s="57">
        <v>0.0089091047235193</v>
      </c>
      <c r="R241" s="57">
        <v>-2.66002828571592</v>
      </c>
      <c r="S241" s="57">
        <v>-0.625172863709363</v>
      </c>
      <c r="T241" s="57">
        <v>-2.66002828571592</v>
      </c>
      <c r="U241" s="57">
        <v>-0.625172863709363</v>
      </c>
    </row>
    <row r="246">
      <c r="A246" s="22">
        <v>50.0</v>
      </c>
      <c r="B246" s="22">
        <v>100.0</v>
      </c>
      <c r="C246" s="23" t="s">
        <v>138</v>
      </c>
      <c r="D246" s="23" t="s">
        <v>139</v>
      </c>
      <c r="E246" s="22" t="s">
        <v>140</v>
      </c>
      <c r="F246" s="2" t="s">
        <v>141</v>
      </c>
      <c r="G246" s="2" t="s">
        <v>142</v>
      </c>
      <c r="H246" s="24">
        <v>0.2</v>
      </c>
      <c r="I246" s="24">
        <v>0.25</v>
      </c>
      <c r="J246" s="5" t="s">
        <v>123</v>
      </c>
      <c r="M246" s="25" t="s">
        <v>155</v>
      </c>
      <c r="Y246" s="35"/>
      <c r="Z246" s="36" t="s">
        <v>156</v>
      </c>
      <c r="AA246" s="37"/>
    </row>
    <row r="247">
      <c r="A247" s="25">
        <v>0.0</v>
      </c>
      <c r="B247" s="25">
        <v>1.0</v>
      </c>
      <c r="C247" s="25">
        <v>0.0</v>
      </c>
      <c r="D247" s="25">
        <v>0.0</v>
      </c>
      <c r="E247" s="25">
        <v>1.0</v>
      </c>
      <c r="F247" s="25">
        <v>1.0</v>
      </c>
      <c r="G247" s="25">
        <v>0.0</v>
      </c>
      <c r="H247" s="25">
        <v>0.0</v>
      </c>
      <c r="I247" s="25">
        <v>1.0</v>
      </c>
      <c r="J247" s="5">
        <v>3.0</v>
      </c>
      <c r="Y247" s="38" t="s">
        <v>157</v>
      </c>
      <c r="Z247" s="39"/>
      <c r="AA247" s="40">
        <f>N262</f>
        <v>6.164511494</v>
      </c>
      <c r="AB247" s="41" t="s">
        <v>158</v>
      </c>
    </row>
    <row r="248">
      <c r="A248" s="25">
        <v>0.0</v>
      </c>
      <c r="B248" s="25">
        <v>0.0</v>
      </c>
      <c r="C248" s="25">
        <v>1.0</v>
      </c>
      <c r="D248" s="25">
        <v>0.0</v>
      </c>
      <c r="E248" s="25">
        <v>0.0</v>
      </c>
      <c r="F248" s="25">
        <v>0.0</v>
      </c>
      <c r="G248" s="25">
        <v>0.0</v>
      </c>
      <c r="H248" s="25">
        <v>1.0</v>
      </c>
      <c r="I248" s="25">
        <v>0.0</v>
      </c>
      <c r="J248" s="5">
        <v>5.0</v>
      </c>
      <c r="M248" s="42" t="s">
        <v>159</v>
      </c>
      <c r="N248" s="43"/>
      <c r="Y248" s="44" t="s">
        <v>145</v>
      </c>
      <c r="Z248" s="45">
        <v>0.0</v>
      </c>
      <c r="AA248" s="46">
        <v>0.0</v>
      </c>
      <c r="AB248" s="47">
        <f>IF(AA248=MAX(AA248:AA250),Z248,IF(AA249=MAX(AA248:AA250),Z249,Z250))</f>
        <v>0</v>
      </c>
    </row>
    <row r="249">
      <c r="A249" s="25">
        <v>0.0</v>
      </c>
      <c r="B249" s="25">
        <v>0.0</v>
      </c>
      <c r="C249" s="25">
        <v>0.0</v>
      </c>
      <c r="D249" s="25">
        <v>0.0</v>
      </c>
      <c r="E249" s="25">
        <v>0.0</v>
      </c>
      <c r="F249" s="25">
        <v>0.0</v>
      </c>
      <c r="G249" s="25">
        <v>1.0</v>
      </c>
      <c r="H249" s="25">
        <v>0.0</v>
      </c>
      <c r="I249" s="25">
        <v>1.0</v>
      </c>
      <c r="J249" s="5">
        <v>6.0</v>
      </c>
      <c r="M249" s="25" t="s">
        <v>160</v>
      </c>
      <c r="N249" s="25">
        <v>0.900556206841658</v>
      </c>
      <c r="Y249" s="48"/>
      <c r="Z249" s="49">
        <v>50.0</v>
      </c>
      <c r="AA249" s="50">
        <f t="shared" ref="AA249:AA250" si="33">N263</f>
        <v>-1.472341954</v>
      </c>
      <c r="AB249" s="51"/>
    </row>
    <row r="250">
      <c r="A250" s="25">
        <v>1.0</v>
      </c>
      <c r="B250" s="25">
        <v>0.0</v>
      </c>
      <c r="C250" s="25">
        <v>1.0</v>
      </c>
      <c r="D250" s="25">
        <v>0.0</v>
      </c>
      <c r="E250" s="25">
        <v>1.0</v>
      </c>
      <c r="F250" s="25">
        <v>0.0</v>
      </c>
      <c r="G250" s="25">
        <v>1.0</v>
      </c>
      <c r="H250" s="25">
        <v>0.0</v>
      </c>
      <c r="I250" s="25">
        <v>1.0</v>
      </c>
      <c r="J250" s="5">
        <v>4.0</v>
      </c>
      <c r="M250" s="25" t="s">
        <v>161</v>
      </c>
      <c r="N250" s="25">
        <v>0.811001481681035</v>
      </c>
      <c r="Y250" s="52"/>
      <c r="Z250" s="53">
        <v>100.0</v>
      </c>
      <c r="AA250" s="54">
        <f t="shared" si="33"/>
        <v>-2.250359195</v>
      </c>
      <c r="AB250" s="51"/>
    </row>
    <row r="251">
      <c r="A251" s="25">
        <v>0.0</v>
      </c>
      <c r="B251" s="25">
        <v>0.0</v>
      </c>
      <c r="C251" s="25">
        <v>0.0</v>
      </c>
      <c r="D251" s="25">
        <v>0.0</v>
      </c>
      <c r="E251" s="25">
        <v>1.0</v>
      </c>
      <c r="F251" s="25">
        <v>0.0</v>
      </c>
      <c r="G251" s="25">
        <v>0.0</v>
      </c>
      <c r="H251" s="25">
        <v>1.0</v>
      </c>
      <c r="I251" s="25">
        <v>0.0</v>
      </c>
      <c r="J251" s="5">
        <v>7.0</v>
      </c>
      <c r="M251" s="25" t="s">
        <v>162</v>
      </c>
      <c r="N251" s="25">
        <v>0.470804148706897</v>
      </c>
      <c r="Y251" s="55" t="s">
        <v>146</v>
      </c>
      <c r="Z251" s="32" t="s">
        <v>147</v>
      </c>
      <c r="AA251" s="50">
        <v>0.0</v>
      </c>
      <c r="AB251" s="61" t="str">
        <f>IF(AA251=MAX(AA251:AA253),Z251,IF(AA252=MAX(AA251:AA253),Z252,Z253))</f>
        <v>Dining &amp; Grocery Cashback (3%)</v>
      </c>
    </row>
    <row r="252">
      <c r="A252" s="25">
        <v>0.0</v>
      </c>
      <c r="B252" s="25">
        <v>1.0</v>
      </c>
      <c r="C252" s="25">
        <v>0.0</v>
      </c>
      <c r="D252" s="25">
        <v>1.0</v>
      </c>
      <c r="E252" s="25">
        <v>1.0</v>
      </c>
      <c r="F252" s="25">
        <v>0.0</v>
      </c>
      <c r="G252" s="25">
        <v>1.0</v>
      </c>
      <c r="H252" s="25">
        <v>1.0</v>
      </c>
      <c r="I252" s="25">
        <v>0.0</v>
      </c>
      <c r="J252" s="5">
        <v>3.0</v>
      </c>
      <c r="M252" s="25" t="s">
        <v>163</v>
      </c>
      <c r="N252" s="25">
        <v>0.897994252855172</v>
      </c>
      <c r="Y252" s="48"/>
      <c r="Z252" s="32" t="s">
        <v>164</v>
      </c>
      <c r="AA252" s="50">
        <f t="shared" ref="AA252:AA253" si="34">N265</f>
        <v>-0.4719827586</v>
      </c>
      <c r="AB252" s="51"/>
    </row>
    <row r="253">
      <c r="A253" s="25">
        <v>0.0</v>
      </c>
      <c r="B253" s="25">
        <v>1.0</v>
      </c>
      <c r="C253" s="25">
        <v>0.0</v>
      </c>
      <c r="D253" s="25">
        <v>0.0</v>
      </c>
      <c r="E253" s="25">
        <v>0.0</v>
      </c>
      <c r="F253" s="25">
        <v>1.0</v>
      </c>
      <c r="G253" s="25">
        <v>0.0</v>
      </c>
      <c r="H253" s="25">
        <v>0.0</v>
      </c>
      <c r="I253" s="25">
        <v>0.0</v>
      </c>
      <c r="J253" s="5">
        <v>5.0</v>
      </c>
      <c r="M253" s="57" t="s">
        <v>165</v>
      </c>
      <c r="N253" s="57">
        <v>15.0</v>
      </c>
      <c r="Y253" s="52"/>
      <c r="Z253" s="58" t="s">
        <v>166</v>
      </c>
      <c r="AA253" s="54">
        <f t="shared" si="34"/>
        <v>-0.6246408046</v>
      </c>
      <c r="AB253" s="59"/>
    </row>
    <row r="254">
      <c r="A254" s="25">
        <v>0.0</v>
      </c>
      <c r="B254" s="25">
        <v>1.0</v>
      </c>
      <c r="C254" s="25">
        <v>0.0</v>
      </c>
      <c r="D254" s="25">
        <v>1.0</v>
      </c>
      <c r="E254" s="25">
        <v>1.0</v>
      </c>
      <c r="F254" s="25">
        <v>0.0</v>
      </c>
      <c r="G254" s="25">
        <v>0.0</v>
      </c>
      <c r="H254" s="25">
        <v>0.0</v>
      </c>
      <c r="I254" s="25">
        <v>0.0</v>
      </c>
      <c r="J254" s="5">
        <v>3.0</v>
      </c>
      <c r="Y254" s="44" t="s">
        <v>148</v>
      </c>
      <c r="Z254" s="60" t="s">
        <v>149</v>
      </c>
      <c r="AA254" s="46">
        <v>0.0</v>
      </c>
      <c r="AB254" s="61" t="str">
        <f>IF(AA254=MAX(AA254:AA255),Z254,Z255)</f>
        <v>Yes</v>
      </c>
    </row>
    <row r="255">
      <c r="A255" s="25">
        <v>0.0</v>
      </c>
      <c r="B255" s="25">
        <v>1.0</v>
      </c>
      <c r="C255" s="25">
        <v>1.0</v>
      </c>
      <c r="D255" s="25">
        <v>0.0</v>
      </c>
      <c r="E255" s="25">
        <v>0.0</v>
      </c>
      <c r="F255" s="25">
        <v>0.0</v>
      </c>
      <c r="G255" s="25">
        <v>0.0</v>
      </c>
      <c r="H255" s="25">
        <v>0.0</v>
      </c>
      <c r="I255" s="25">
        <v>1.0</v>
      </c>
      <c r="J255" s="5">
        <v>4.0</v>
      </c>
      <c r="M255" s="25" t="s">
        <v>167</v>
      </c>
      <c r="Y255" s="52"/>
      <c r="Z255" s="58" t="s">
        <v>140</v>
      </c>
      <c r="AA255" s="54">
        <f>N267</f>
        <v>-0.3017241379</v>
      </c>
      <c r="AB255" s="59"/>
    </row>
    <row r="256">
      <c r="A256" s="25">
        <v>1.0</v>
      </c>
      <c r="B256" s="25">
        <v>0.0</v>
      </c>
      <c r="C256" s="25">
        <v>0.0</v>
      </c>
      <c r="D256" s="25">
        <v>0.0</v>
      </c>
      <c r="E256" s="25">
        <v>1.0</v>
      </c>
      <c r="F256" s="25">
        <v>0.0</v>
      </c>
      <c r="G256" s="25">
        <v>0.0</v>
      </c>
      <c r="H256" s="25">
        <v>0.0</v>
      </c>
      <c r="I256" s="25">
        <v>0.0</v>
      </c>
      <c r="J256" s="5">
        <v>4.0</v>
      </c>
      <c r="M256" s="42"/>
      <c r="N256" s="42" t="s">
        <v>168</v>
      </c>
      <c r="O256" s="42" t="s">
        <v>169</v>
      </c>
      <c r="P256" s="42" t="s">
        <v>170</v>
      </c>
      <c r="Q256" s="42" t="s">
        <v>171</v>
      </c>
      <c r="R256" s="42" t="s">
        <v>172</v>
      </c>
      <c r="Y256" s="44" t="s">
        <v>173</v>
      </c>
      <c r="Z256" s="62" t="s">
        <v>151</v>
      </c>
      <c r="AA256" s="46">
        <v>0.0</v>
      </c>
      <c r="AB256" s="56" t="str">
        <f>IF(AA256=MAX(AA256:AA258),Z256,IF(AA257=MAX(AA256:AA258),Z257,Z258))</f>
        <v>Mastercard</v>
      </c>
    </row>
    <row r="257">
      <c r="A257" s="25">
        <v>0.0</v>
      </c>
      <c r="B257" s="25">
        <v>0.0</v>
      </c>
      <c r="C257" s="25">
        <v>0.0</v>
      </c>
      <c r="D257" s="25">
        <v>1.0</v>
      </c>
      <c r="E257" s="25">
        <v>0.0</v>
      </c>
      <c r="F257" s="25">
        <v>0.0</v>
      </c>
      <c r="G257" s="25">
        <v>1.0</v>
      </c>
      <c r="H257" s="25">
        <v>0.0</v>
      </c>
      <c r="I257" s="25">
        <v>0.0</v>
      </c>
      <c r="J257" s="5">
        <v>5.0</v>
      </c>
      <c r="M257" s="25" t="s">
        <v>174</v>
      </c>
      <c r="N257" s="25">
        <v>9.0</v>
      </c>
      <c r="O257" s="25">
        <v>17.3013649425287</v>
      </c>
      <c r="P257" s="25">
        <v>1.92237388250319</v>
      </c>
      <c r="Q257" s="25">
        <v>2.3839148725563</v>
      </c>
      <c r="R257" s="25">
        <v>0.175784888359162</v>
      </c>
      <c r="Y257" s="48"/>
      <c r="Z257" s="23" t="s">
        <v>141</v>
      </c>
      <c r="AA257" s="50">
        <f t="shared" ref="AA257:AA258" si="35">N268</f>
        <v>0.4996408046</v>
      </c>
      <c r="AB257" s="51"/>
    </row>
    <row r="258">
      <c r="A258" s="25">
        <v>1.0</v>
      </c>
      <c r="B258" s="25">
        <v>0.0</v>
      </c>
      <c r="C258" s="25">
        <v>0.0</v>
      </c>
      <c r="D258" s="25">
        <v>1.0</v>
      </c>
      <c r="E258" s="25">
        <v>0.0</v>
      </c>
      <c r="F258" s="25">
        <v>1.0</v>
      </c>
      <c r="G258" s="25">
        <v>0.0</v>
      </c>
      <c r="H258" s="25">
        <v>1.0</v>
      </c>
      <c r="I258" s="25">
        <v>0.0</v>
      </c>
      <c r="J258" s="5">
        <v>5.0</v>
      </c>
      <c r="M258" s="25" t="s">
        <v>175</v>
      </c>
      <c r="N258" s="25">
        <v>5.0</v>
      </c>
      <c r="O258" s="25">
        <v>4.0319683908046</v>
      </c>
      <c r="P258" s="25">
        <v>0.806393678160919</v>
      </c>
      <c r="Y258" s="52"/>
      <c r="Z258" s="58" t="s">
        <v>142</v>
      </c>
      <c r="AA258" s="54">
        <f t="shared" si="35"/>
        <v>-0.222341954</v>
      </c>
      <c r="AB258" s="59"/>
    </row>
    <row r="259">
      <c r="A259" s="25">
        <v>1.0</v>
      </c>
      <c r="B259" s="25">
        <v>0.0</v>
      </c>
      <c r="C259" s="25">
        <v>0.0</v>
      </c>
      <c r="D259" s="25">
        <v>1.0</v>
      </c>
      <c r="E259" s="25">
        <v>0.0</v>
      </c>
      <c r="F259" s="25">
        <v>0.0</v>
      </c>
      <c r="G259" s="25">
        <v>0.0</v>
      </c>
      <c r="H259" s="25">
        <v>0.0</v>
      </c>
      <c r="I259" s="25">
        <v>1.0</v>
      </c>
      <c r="J259" s="5">
        <v>4.0</v>
      </c>
      <c r="M259" s="57" t="s">
        <v>176</v>
      </c>
      <c r="N259" s="57">
        <v>14.0</v>
      </c>
      <c r="O259" s="57">
        <v>21.3333333333333</v>
      </c>
      <c r="P259" s="57"/>
      <c r="Q259" s="57"/>
      <c r="R259" s="57"/>
      <c r="Y259" s="44" t="s">
        <v>177</v>
      </c>
      <c r="Z259" s="63">
        <v>0.15</v>
      </c>
      <c r="AA259" s="46">
        <v>0.0</v>
      </c>
      <c r="AB259" s="64">
        <f>IF(AA259=MAX(AA259:AA261),Z259,IF(AA260=MAX(AA259:AA261),Z260,Z261))</f>
        <v>0.2</v>
      </c>
    </row>
    <row r="260">
      <c r="A260" s="25">
        <v>0.0</v>
      </c>
      <c r="B260" s="25">
        <v>0.0</v>
      </c>
      <c r="C260" s="25">
        <v>1.0</v>
      </c>
      <c r="D260" s="25">
        <v>0.0</v>
      </c>
      <c r="E260" s="25">
        <v>1.0</v>
      </c>
      <c r="F260" s="25">
        <v>1.0</v>
      </c>
      <c r="G260" s="25">
        <v>0.0</v>
      </c>
      <c r="H260" s="25">
        <v>0.0</v>
      </c>
      <c r="I260" s="25">
        <v>0.0</v>
      </c>
      <c r="J260" s="5">
        <v>6.0</v>
      </c>
      <c r="Y260" s="48"/>
      <c r="Z260" s="65">
        <v>0.2</v>
      </c>
      <c r="AA260" s="50">
        <f t="shared" ref="AA260:AA261" si="36">N270</f>
        <v>0.2780172414</v>
      </c>
      <c r="AB260" s="51"/>
    </row>
    <row r="261">
      <c r="A261" s="25">
        <v>0.0</v>
      </c>
      <c r="B261" s="25">
        <v>0.0</v>
      </c>
      <c r="C261" s="25">
        <v>0.0</v>
      </c>
      <c r="D261" s="25">
        <v>1.0</v>
      </c>
      <c r="E261" s="25">
        <v>1.0</v>
      </c>
      <c r="F261" s="25">
        <v>1.0</v>
      </c>
      <c r="G261" s="25">
        <v>0.0</v>
      </c>
      <c r="H261" s="25">
        <v>0.0</v>
      </c>
      <c r="I261" s="25">
        <v>1.0</v>
      </c>
      <c r="J261" s="5">
        <v>6.0</v>
      </c>
      <c r="M261" s="42"/>
      <c r="N261" s="42" t="s">
        <v>178</v>
      </c>
      <c r="O261" s="42" t="s">
        <v>163</v>
      </c>
      <c r="P261" s="42" t="s">
        <v>179</v>
      </c>
      <c r="Q261" s="42" t="s">
        <v>180</v>
      </c>
      <c r="R261" s="42" t="s">
        <v>181</v>
      </c>
      <c r="S261" s="42" t="s">
        <v>182</v>
      </c>
      <c r="T261" s="42" t="s">
        <v>183</v>
      </c>
      <c r="U261" s="42" t="s">
        <v>184</v>
      </c>
      <c r="Y261" s="52"/>
      <c r="Z261" s="66">
        <v>0.25</v>
      </c>
      <c r="AA261" s="54">
        <f t="shared" si="36"/>
        <v>0.0003591954023</v>
      </c>
      <c r="AB261" s="59"/>
    </row>
    <row r="262">
      <c r="M262" s="25" t="s">
        <v>157</v>
      </c>
      <c r="N262" s="25">
        <v>6.16451149425288</v>
      </c>
      <c r="O262" s="25">
        <v>0.718040503673786</v>
      </c>
      <c r="P262" s="25">
        <v>8.58518629897998</v>
      </c>
      <c r="Q262" s="25">
        <v>3.53515723920024E-4</v>
      </c>
      <c r="R262" s="25">
        <v>4.31872961825789</v>
      </c>
      <c r="S262" s="25">
        <v>8.01029337024786</v>
      </c>
      <c r="T262" s="25">
        <v>4.31872961825789</v>
      </c>
      <c r="U262" s="25">
        <v>8.01029337024786</v>
      </c>
    </row>
    <row r="263">
      <c r="M263" s="25">
        <v>50.0</v>
      </c>
      <c r="N263" s="25">
        <v>-1.47234195402299</v>
      </c>
      <c r="O263" s="25">
        <v>0.602921546767088</v>
      </c>
      <c r="P263" s="25">
        <v>-2.44201250049497</v>
      </c>
      <c r="Q263" s="25">
        <v>0.0585085808516031</v>
      </c>
      <c r="R263" s="25">
        <v>-3.02220113045622</v>
      </c>
      <c r="S263" s="25">
        <v>0.0775172224102386</v>
      </c>
      <c r="T263" s="25">
        <v>-3.02220113045622</v>
      </c>
      <c r="U263" s="25">
        <v>0.0775172224102386</v>
      </c>
    </row>
    <row r="264">
      <c r="M264" s="25">
        <v>100.0</v>
      </c>
      <c r="N264" s="25">
        <v>-2.2503591954023</v>
      </c>
      <c r="O264" s="25">
        <v>0.561117371038172</v>
      </c>
      <c r="P264" s="25">
        <v>-4.01049639799729</v>
      </c>
      <c r="Q264" s="25">
        <v>0.0102164964059452</v>
      </c>
      <c r="R264" s="25">
        <v>-3.69275731705303</v>
      </c>
      <c r="S264" s="25">
        <v>-0.807961073751571</v>
      </c>
      <c r="T264" s="25">
        <v>-3.69275731705303</v>
      </c>
      <c r="U264" s="25">
        <v>-0.807961073751571</v>
      </c>
    </row>
    <row r="265">
      <c r="M265" s="25" t="s">
        <v>138</v>
      </c>
      <c r="N265" s="25">
        <v>-0.47198275862069</v>
      </c>
      <c r="O265" s="25">
        <v>0.615520913814344</v>
      </c>
      <c r="P265" s="25">
        <v>-0.76680214762459</v>
      </c>
      <c r="Q265" s="25">
        <v>0.477822658729997</v>
      </c>
      <c r="R265" s="25">
        <v>-2.05422963912611</v>
      </c>
      <c r="S265" s="25">
        <v>1.11026412188473</v>
      </c>
      <c r="T265" s="25">
        <v>-2.05422963912611</v>
      </c>
      <c r="U265" s="25">
        <v>1.11026412188473</v>
      </c>
    </row>
    <row r="266">
      <c r="M266" s="25" t="s">
        <v>139</v>
      </c>
      <c r="N266" s="25">
        <v>-0.624640804597701</v>
      </c>
      <c r="O266" s="25">
        <v>0.561117371038172</v>
      </c>
      <c r="P266" s="25">
        <v>-1.11320881661888</v>
      </c>
      <c r="Q266" s="25">
        <v>0.316253126331552</v>
      </c>
      <c r="R266" s="25">
        <v>-2.06703892624843</v>
      </c>
      <c r="S266" s="25">
        <v>0.817757317053027</v>
      </c>
      <c r="T266" s="25">
        <v>-2.06703892624843</v>
      </c>
      <c r="U266" s="25">
        <v>0.817757317053027</v>
      </c>
    </row>
    <row r="267">
      <c r="M267" s="25" t="s">
        <v>140</v>
      </c>
      <c r="N267" s="25">
        <v>-0.301724137931035</v>
      </c>
      <c r="O267" s="25">
        <v>0.471649688283778</v>
      </c>
      <c r="P267" s="25">
        <v>-0.639720846692251</v>
      </c>
      <c r="Q267" s="25">
        <v>0.550510759810076</v>
      </c>
      <c r="R267" s="25">
        <v>-1.51413825941684</v>
      </c>
      <c r="S267" s="25">
        <v>0.910689983554774</v>
      </c>
      <c r="T267" s="25">
        <v>-1.51413825941684</v>
      </c>
      <c r="U267" s="25">
        <v>0.910689983554774</v>
      </c>
    </row>
    <row r="268">
      <c r="M268" s="25" t="s">
        <v>141</v>
      </c>
      <c r="N268" s="25">
        <v>0.499640804597701</v>
      </c>
      <c r="O268" s="25">
        <v>0.561117371038172</v>
      </c>
      <c r="P268" s="25">
        <v>0.890439024679047</v>
      </c>
      <c r="Q268" s="25">
        <v>0.414018212135045</v>
      </c>
      <c r="R268" s="25">
        <v>-0.942757317053027</v>
      </c>
      <c r="S268" s="25">
        <v>1.94203892624843</v>
      </c>
      <c r="T268" s="25">
        <v>-0.942757317053027</v>
      </c>
      <c r="U268" s="25">
        <v>1.94203892624843</v>
      </c>
    </row>
    <row r="269">
      <c r="M269" s="25" t="s">
        <v>142</v>
      </c>
      <c r="N269" s="25">
        <v>-0.222341954022989</v>
      </c>
      <c r="O269" s="25">
        <v>0.602921546767088</v>
      </c>
      <c r="P269" s="25">
        <v>-0.368774271238445</v>
      </c>
      <c r="Q269" s="25">
        <v>0.727395993988655</v>
      </c>
      <c r="R269" s="25">
        <v>-1.77220113045622</v>
      </c>
      <c r="S269" s="25">
        <v>1.32751722241024</v>
      </c>
      <c r="T269" s="25">
        <v>-1.77220113045622</v>
      </c>
      <c r="U269" s="25">
        <v>1.32751722241024</v>
      </c>
    </row>
    <row r="270">
      <c r="M270" s="25">
        <v>0.2</v>
      </c>
      <c r="N270" s="25">
        <v>0.27801724137931</v>
      </c>
      <c r="O270" s="25">
        <v>0.615520913814344</v>
      </c>
      <c r="P270" s="25">
        <v>0.451677977367909</v>
      </c>
      <c r="Q270" s="25">
        <v>0.670418733572004</v>
      </c>
      <c r="R270" s="25">
        <v>-1.30422963912611</v>
      </c>
      <c r="S270" s="25">
        <v>1.86026412188473</v>
      </c>
      <c r="T270" s="25">
        <v>-1.30422963912611</v>
      </c>
      <c r="U270" s="25">
        <v>1.86026412188473</v>
      </c>
    </row>
    <row r="271">
      <c r="M271" s="57">
        <v>0.25</v>
      </c>
      <c r="N271" s="57">
        <v>3.59195402298501E-4</v>
      </c>
      <c r="O271" s="57">
        <v>0.561117371038172</v>
      </c>
      <c r="P271" s="57">
        <v>6.40143080286254E-4</v>
      </c>
      <c r="Q271" s="57">
        <v>0.999513994848391</v>
      </c>
      <c r="R271" s="57">
        <v>-1.44203892624843</v>
      </c>
      <c r="S271" s="57">
        <v>1.44275731705303</v>
      </c>
      <c r="T271" s="57">
        <v>-1.44203892624843</v>
      </c>
      <c r="U271" s="57">
        <v>1.44275731705303</v>
      </c>
    </row>
    <row r="276">
      <c r="A276" s="22"/>
      <c r="B276" s="22">
        <v>100.0</v>
      </c>
      <c r="C276" s="23" t="s">
        <v>138</v>
      </c>
      <c r="D276" s="23" t="s">
        <v>139</v>
      </c>
      <c r="E276" s="22" t="s">
        <v>140</v>
      </c>
      <c r="F276" s="2" t="s">
        <v>141</v>
      </c>
      <c r="G276" s="2" t="s">
        <v>142</v>
      </c>
      <c r="H276" s="24">
        <v>0.2</v>
      </c>
      <c r="I276" s="24">
        <v>0.25</v>
      </c>
      <c r="J276" s="5" t="s">
        <v>124</v>
      </c>
      <c r="M276" s="25" t="s">
        <v>155</v>
      </c>
      <c r="Y276" s="35"/>
      <c r="Z276" s="36" t="s">
        <v>156</v>
      </c>
      <c r="AA276" s="37"/>
    </row>
    <row r="277">
      <c r="A277" s="25">
        <v>0.0</v>
      </c>
      <c r="B277" s="25">
        <v>1.0</v>
      </c>
      <c r="C277" s="25">
        <v>0.0</v>
      </c>
      <c r="D277" s="25">
        <v>0.0</v>
      </c>
      <c r="E277" s="25">
        <v>1.0</v>
      </c>
      <c r="F277" s="25">
        <v>1.0</v>
      </c>
      <c r="G277" s="25">
        <v>0.0</v>
      </c>
      <c r="H277" s="25">
        <v>0.0</v>
      </c>
      <c r="I277" s="25">
        <v>1.0</v>
      </c>
      <c r="J277" s="5">
        <v>1.0</v>
      </c>
      <c r="Y277" s="38" t="s">
        <v>157</v>
      </c>
      <c r="Z277" s="39"/>
      <c r="AA277" s="40">
        <f>N292</f>
        <v>6.188218391</v>
      </c>
      <c r="AB277" s="41" t="s">
        <v>158</v>
      </c>
    </row>
    <row r="278">
      <c r="A278" s="25">
        <v>0.0</v>
      </c>
      <c r="B278" s="25">
        <v>0.0</v>
      </c>
      <c r="C278" s="25">
        <v>1.0</v>
      </c>
      <c r="D278" s="25">
        <v>0.0</v>
      </c>
      <c r="E278" s="25">
        <v>0.0</v>
      </c>
      <c r="F278" s="25">
        <v>0.0</v>
      </c>
      <c r="G278" s="25">
        <v>0.0</v>
      </c>
      <c r="H278" s="25">
        <v>1.0</v>
      </c>
      <c r="I278" s="25">
        <v>0.0</v>
      </c>
      <c r="J278" s="5">
        <v>5.0</v>
      </c>
      <c r="M278" s="42" t="s">
        <v>159</v>
      </c>
      <c r="N278" s="43"/>
      <c r="Y278" s="44" t="s">
        <v>145</v>
      </c>
      <c r="Z278" s="45">
        <v>0.0</v>
      </c>
      <c r="AA278" s="46">
        <v>0.0</v>
      </c>
      <c r="AB278" s="47">
        <f>IF(AA278=MAX(AA278:AA280),Z278,IF(AA279=MAX(AA278:AA280),Z279,Z280))</f>
        <v>0</v>
      </c>
    </row>
    <row r="279">
      <c r="A279" s="25">
        <v>0.0</v>
      </c>
      <c r="B279" s="25">
        <v>0.0</v>
      </c>
      <c r="C279" s="25">
        <v>0.0</v>
      </c>
      <c r="D279" s="25">
        <v>0.0</v>
      </c>
      <c r="E279" s="25">
        <v>0.0</v>
      </c>
      <c r="F279" s="25">
        <v>0.0</v>
      </c>
      <c r="G279" s="25">
        <v>1.0</v>
      </c>
      <c r="H279" s="25">
        <v>0.0</v>
      </c>
      <c r="I279" s="25">
        <v>1.0</v>
      </c>
      <c r="J279" s="5">
        <v>7.0</v>
      </c>
      <c r="M279" s="25" t="s">
        <v>160</v>
      </c>
      <c r="N279" s="25">
        <v>0.920734068514754</v>
      </c>
      <c r="Y279" s="48"/>
      <c r="Z279" s="49">
        <v>50.0</v>
      </c>
      <c r="AA279" s="50">
        <f t="shared" ref="AA279:AA280" si="37">N293</f>
        <v>-2.630747126</v>
      </c>
      <c r="AB279" s="51"/>
    </row>
    <row r="280">
      <c r="A280" s="25">
        <v>1.0</v>
      </c>
      <c r="B280" s="25">
        <v>0.0</v>
      </c>
      <c r="C280" s="25">
        <v>1.0</v>
      </c>
      <c r="D280" s="25">
        <v>0.0</v>
      </c>
      <c r="E280" s="25">
        <v>1.0</v>
      </c>
      <c r="F280" s="25">
        <v>0.0</v>
      </c>
      <c r="G280" s="25">
        <v>1.0</v>
      </c>
      <c r="H280" s="25">
        <v>0.0</v>
      </c>
      <c r="I280" s="25">
        <v>1.0</v>
      </c>
      <c r="J280" s="5">
        <v>2.0</v>
      </c>
      <c r="M280" s="25" t="s">
        <v>161</v>
      </c>
      <c r="N280" s="25">
        <v>0.847751224923731</v>
      </c>
      <c r="Y280" s="52"/>
      <c r="Z280" s="53">
        <v>100.0</v>
      </c>
      <c r="AA280" s="54">
        <f t="shared" si="37"/>
        <v>-3.225574713</v>
      </c>
      <c r="AB280" s="51"/>
    </row>
    <row r="281">
      <c r="A281" s="25">
        <v>0.0</v>
      </c>
      <c r="B281" s="25">
        <v>0.0</v>
      </c>
      <c r="C281" s="25">
        <v>0.0</v>
      </c>
      <c r="D281" s="25">
        <v>0.0</v>
      </c>
      <c r="E281" s="25">
        <v>1.0</v>
      </c>
      <c r="F281" s="25">
        <v>0.0</v>
      </c>
      <c r="G281" s="25">
        <v>0.0</v>
      </c>
      <c r="H281" s="25">
        <v>1.0</v>
      </c>
      <c r="I281" s="25">
        <v>0.0</v>
      </c>
      <c r="J281" s="5">
        <v>7.0</v>
      </c>
      <c r="M281" s="25" t="s">
        <v>162</v>
      </c>
      <c r="N281" s="25">
        <v>0.573703429786447</v>
      </c>
      <c r="Y281" s="55" t="s">
        <v>146</v>
      </c>
      <c r="Z281" s="32" t="s">
        <v>147</v>
      </c>
      <c r="AA281" s="50">
        <v>0.0</v>
      </c>
      <c r="AB281" s="61" t="str">
        <f>IF(AA281=MAX(AA281:AA283),Z281,IF(AA282=MAX(AA281:AA283),Z282,Z283))</f>
        <v>Dining &amp; Grocery Cashback (3%)</v>
      </c>
    </row>
    <row r="282">
      <c r="A282" s="25">
        <v>0.0</v>
      </c>
      <c r="B282" s="25">
        <v>1.0</v>
      </c>
      <c r="C282" s="25">
        <v>0.0</v>
      </c>
      <c r="D282" s="25">
        <v>1.0</v>
      </c>
      <c r="E282" s="25">
        <v>1.0</v>
      </c>
      <c r="F282" s="25">
        <v>0.0</v>
      </c>
      <c r="G282" s="25">
        <v>1.0</v>
      </c>
      <c r="H282" s="25">
        <v>1.0</v>
      </c>
      <c r="I282" s="25">
        <v>0.0</v>
      </c>
      <c r="J282" s="5">
        <v>1.0</v>
      </c>
      <c r="M282" s="25" t="s">
        <v>163</v>
      </c>
      <c r="N282" s="25">
        <v>1.23059652855514</v>
      </c>
      <c r="Y282" s="48"/>
      <c r="Z282" s="32" t="s">
        <v>164</v>
      </c>
      <c r="AA282" s="50">
        <f t="shared" ref="AA282:AA283" si="38">N295</f>
        <v>-0.9051724138</v>
      </c>
      <c r="AB282" s="51"/>
    </row>
    <row r="283">
      <c r="A283" s="25">
        <v>0.0</v>
      </c>
      <c r="B283" s="25">
        <v>1.0</v>
      </c>
      <c r="C283" s="25">
        <v>0.0</v>
      </c>
      <c r="D283" s="25">
        <v>0.0</v>
      </c>
      <c r="E283" s="25">
        <v>0.0</v>
      </c>
      <c r="F283" s="25">
        <v>1.0</v>
      </c>
      <c r="G283" s="25">
        <v>0.0</v>
      </c>
      <c r="H283" s="25">
        <v>0.0</v>
      </c>
      <c r="I283" s="25">
        <v>0.0</v>
      </c>
      <c r="J283" s="5">
        <v>2.0</v>
      </c>
      <c r="M283" s="57" t="s">
        <v>165</v>
      </c>
      <c r="N283" s="57">
        <v>15.0</v>
      </c>
      <c r="Y283" s="52"/>
      <c r="Z283" s="58" t="s">
        <v>166</v>
      </c>
      <c r="AA283" s="54">
        <f t="shared" si="38"/>
        <v>-1.024425287</v>
      </c>
      <c r="AB283" s="59"/>
    </row>
    <row r="284">
      <c r="A284" s="25">
        <v>0.0</v>
      </c>
      <c r="B284" s="25">
        <v>1.0</v>
      </c>
      <c r="C284" s="25">
        <v>0.0</v>
      </c>
      <c r="D284" s="25">
        <v>1.0</v>
      </c>
      <c r="E284" s="25">
        <v>1.0</v>
      </c>
      <c r="F284" s="25">
        <v>0.0</v>
      </c>
      <c r="G284" s="25">
        <v>0.0</v>
      </c>
      <c r="H284" s="25">
        <v>0.0</v>
      </c>
      <c r="I284" s="25">
        <v>0.0</v>
      </c>
      <c r="J284" s="5">
        <v>2.0</v>
      </c>
      <c r="Y284" s="44" t="s">
        <v>148</v>
      </c>
      <c r="Z284" s="60" t="s">
        <v>149</v>
      </c>
      <c r="AA284" s="46">
        <v>0.0</v>
      </c>
      <c r="AB284" s="61" t="str">
        <f>IF(AA284=MAX(AA284:AA285),Z284,Z285)</f>
        <v>Yes</v>
      </c>
    </row>
    <row r="285">
      <c r="A285" s="25">
        <v>0.0</v>
      </c>
      <c r="B285" s="25">
        <v>1.0</v>
      </c>
      <c r="C285" s="25">
        <v>1.0</v>
      </c>
      <c r="D285" s="25">
        <v>0.0</v>
      </c>
      <c r="E285" s="25">
        <v>0.0</v>
      </c>
      <c r="F285" s="25">
        <v>0.0</v>
      </c>
      <c r="G285" s="25">
        <v>0.0</v>
      </c>
      <c r="H285" s="25">
        <v>0.0</v>
      </c>
      <c r="I285" s="25">
        <v>1.0</v>
      </c>
      <c r="J285" s="5">
        <v>4.0</v>
      </c>
      <c r="M285" s="25" t="s">
        <v>167</v>
      </c>
      <c r="Y285" s="52"/>
      <c r="Z285" s="58" t="s">
        <v>140</v>
      </c>
      <c r="AA285" s="54">
        <f>N297</f>
        <v>-0.4827586207</v>
      </c>
      <c r="AB285" s="59"/>
    </row>
    <row r="286">
      <c r="A286" s="25">
        <v>1.0</v>
      </c>
      <c r="B286" s="25">
        <v>0.0</v>
      </c>
      <c r="C286" s="25">
        <v>0.0</v>
      </c>
      <c r="D286" s="25">
        <v>0.0</v>
      </c>
      <c r="E286" s="25">
        <v>1.0</v>
      </c>
      <c r="F286" s="25">
        <v>0.0</v>
      </c>
      <c r="G286" s="25">
        <v>0.0</v>
      </c>
      <c r="H286" s="25">
        <v>0.0</v>
      </c>
      <c r="I286" s="25">
        <v>0.0</v>
      </c>
      <c r="J286" s="5">
        <v>3.0</v>
      </c>
      <c r="M286" s="42"/>
      <c r="N286" s="42" t="s">
        <v>168</v>
      </c>
      <c r="O286" s="42" t="s">
        <v>169</v>
      </c>
      <c r="P286" s="42" t="s">
        <v>170</v>
      </c>
      <c r="Q286" s="42" t="s">
        <v>171</v>
      </c>
      <c r="R286" s="42" t="s">
        <v>172</v>
      </c>
      <c r="Y286" s="44" t="s">
        <v>173</v>
      </c>
      <c r="Z286" s="62" t="s">
        <v>151</v>
      </c>
      <c r="AA286" s="46">
        <v>0.0</v>
      </c>
      <c r="AB286" s="56" t="str">
        <f>IF(AA286=MAX(AA286:AA288),Z286,IF(AA287=MAX(AA286:AA288),Z287,Z288))</f>
        <v>Visa</v>
      </c>
    </row>
    <row r="287">
      <c r="A287" s="25">
        <v>0.0</v>
      </c>
      <c r="B287" s="25">
        <v>0.0</v>
      </c>
      <c r="C287" s="25">
        <v>0.0</v>
      </c>
      <c r="D287" s="25">
        <v>1.0</v>
      </c>
      <c r="E287" s="25">
        <v>0.0</v>
      </c>
      <c r="F287" s="25">
        <v>0.0</v>
      </c>
      <c r="G287" s="25">
        <v>1.0</v>
      </c>
      <c r="H287" s="25">
        <v>0.0</v>
      </c>
      <c r="I287" s="25">
        <v>0.0</v>
      </c>
      <c r="J287" s="5">
        <v>3.0</v>
      </c>
      <c r="M287" s="25" t="s">
        <v>174</v>
      </c>
      <c r="N287" s="25">
        <v>9.0</v>
      </c>
      <c r="O287" s="25">
        <v>42.1614942528736</v>
      </c>
      <c r="P287" s="25">
        <v>4.68461047254151</v>
      </c>
      <c r="Q287" s="25">
        <v>3.09344296858528</v>
      </c>
      <c r="R287" s="25">
        <v>0.113249839385201</v>
      </c>
      <c r="Y287" s="48"/>
      <c r="Z287" s="23" t="s">
        <v>141</v>
      </c>
      <c r="AA287" s="50">
        <f t="shared" ref="AA287:AA288" si="39">N298</f>
        <v>-1.100574713</v>
      </c>
      <c r="AB287" s="51"/>
    </row>
    <row r="288">
      <c r="A288" s="25">
        <v>1.0</v>
      </c>
      <c r="B288" s="25">
        <v>0.0</v>
      </c>
      <c r="C288" s="25">
        <v>0.0</v>
      </c>
      <c r="D288" s="25">
        <v>1.0</v>
      </c>
      <c r="E288" s="25">
        <v>0.0</v>
      </c>
      <c r="F288" s="25">
        <v>1.0</v>
      </c>
      <c r="G288" s="25">
        <v>0.0</v>
      </c>
      <c r="H288" s="25">
        <v>1.0</v>
      </c>
      <c r="I288" s="25">
        <v>0.0</v>
      </c>
      <c r="J288" s="5">
        <v>3.0</v>
      </c>
      <c r="M288" s="25" t="s">
        <v>175</v>
      </c>
      <c r="N288" s="25">
        <v>5.0</v>
      </c>
      <c r="O288" s="25">
        <v>7.57183908045978</v>
      </c>
      <c r="P288" s="25">
        <v>1.51436781609196</v>
      </c>
      <c r="Y288" s="52"/>
      <c r="Z288" s="58" t="s">
        <v>142</v>
      </c>
      <c r="AA288" s="54">
        <f t="shared" si="39"/>
        <v>-1.255747126</v>
      </c>
      <c r="AB288" s="59"/>
    </row>
    <row r="289">
      <c r="A289" s="25">
        <v>1.0</v>
      </c>
      <c r="B289" s="25">
        <v>0.0</v>
      </c>
      <c r="C289" s="25">
        <v>0.0</v>
      </c>
      <c r="D289" s="25">
        <v>1.0</v>
      </c>
      <c r="E289" s="25">
        <v>0.0</v>
      </c>
      <c r="F289" s="25">
        <v>0.0</v>
      </c>
      <c r="G289" s="25">
        <v>0.0</v>
      </c>
      <c r="H289" s="25">
        <v>0.0</v>
      </c>
      <c r="I289" s="25">
        <v>1.0</v>
      </c>
      <c r="J289" s="5">
        <v>3.0</v>
      </c>
      <c r="M289" s="57" t="s">
        <v>176</v>
      </c>
      <c r="N289" s="57">
        <v>14.0</v>
      </c>
      <c r="O289" s="57">
        <v>49.7333333333333</v>
      </c>
      <c r="P289" s="57"/>
      <c r="Q289" s="57"/>
      <c r="R289" s="57"/>
      <c r="Y289" s="44" t="s">
        <v>177</v>
      </c>
      <c r="Z289" s="63">
        <v>0.15</v>
      </c>
      <c r="AA289" s="46">
        <v>0.0</v>
      </c>
      <c r="AB289" s="64">
        <f>IF(AA289=MAX(AA289:AA291),Z289,IF(AA290=MAX(AA289:AA291),Z290,Z291))</f>
        <v>0.25</v>
      </c>
    </row>
    <row r="290">
      <c r="A290" s="25">
        <v>0.0</v>
      </c>
      <c r="B290" s="25">
        <v>0.0</v>
      </c>
      <c r="C290" s="25">
        <v>1.0</v>
      </c>
      <c r="D290" s="25">
        <v>0.0</v>
      </c>
      <c r="E290" s="25">
        <v>1.0</v>
      </c>
      <c r="F290" s="25">
        <v>1.0</v>
      </c>
      <c r="G290" s="25">
        <v>0.0</v>
      </c>
      <c r="H290" s="25">
        <v>0.0</v>
      </c>
      <c r="I290" s="25">
        <v>0.0</v>
      </c>
      <c r="J290" s="5">
        <v>4.0</v>
      </c>
      <c r="Y290" s="48"/>
      <c r="Z290" s="65">
        <v>0.2</v>
      </c>
      <c r="AA290" s="50">
        <f t="shared" ref="AA290:AA291" si="40">N300</f>
        <v>0.8448275862</v>
      </c>
      <c r="AB290" s="51"/>
    </row>
    <row r="291">
      <c r="A291" s="25">
        <v>0.0</v>
      </c>
      <c r="B291" s="25">
        <v>0.0</v>
      </c>
      <c r="C291" s="25">
        <v>0.0</v>
      </c>
      <c r="D291" s="25">
        <v>1.0</v>
      </c>
      <c r="E291" s="25">
        <v>1.0</v>
      </c>
      <c r="F291" s="25">
        <v>1.0</v>
      </c>
      <c r="G291" s="25">
        <v>0.0</v>
      </c>
      <c r="H291" s="25">
        <v>0.0</v>
      </c>
      <c r="I291" s="25">
        <v>1.0</v>
      </c>
      <c r="J291" s="5">
        <v>5.0</v>
      </c>
      <c r="M291" s="42"/>
      <c r="N291" s="42" t="s">
        <v>178</v>
      </c>
      <c r="O291" s="42" t="s">
        <v>163</v>
      </c>
      <c r="P291" s="42" t="s">
        <v>179</v>
      </c>
      <c r="Q291" s="42" t="s">
        <v>180</v>
      </c>
      <c r="R291" s="42" t="s">
        <v>181</v>
      </c>
      <c r="S291" s="42" t="s">
        <v>182</v>
      </c>
      <c r="T291" s="42" t="s">
        <v>183</v>
      </c>
      <c r="U291" s="42" t="s">
        <v>184</v>
      </c>
      <c r="Y291" s="52"/>
      <c r="Z291" s="66">
        <v>0.25</v>
      </c>
      <c r="AA291" s="54">
        <f t="shared" si="40"/>
        <v>1.100574713</v>
      </c>
      <c r="AB291" s="59"/>
    </row>
    <row r="292">
      <c r="M292" s="25" t="s">
        <v>157</v>
      </c>
      <c r="N292" s="25">
        <v>6.1882183908046</v>
      </c>
      <c r="O292" s="25">
        <v>0.983990875635875</v>
      </c>
      <c r="P292" s="25">
        <v>6.2888981432939</v>
      </c>
      <c r="Q292" s="25">
        <v>0.00149428155786206</v>
      </c>
      <c r="R292" s="25">
        <v>3.65878931946315</v>
      </c>
      <c r="S292" s="25">
        <v>8.71764746214605</v>
      </c>
      <c r="T292" s="25">
        <v>3.65878931946315</v>
      </c>
      <c r="U292" s="25">
        <v>8.71764746214605</v>
      </c>
    </row>
    <row r="293">
      <c r="M293" s="25">
        <v>50.0</v>
      </c>
      <c r="N293" s="25">
        <v>-2.63074712643678</v>
      </c>
      <c r="O293" s="25">
        <v>0.826233753817057</v>
      </c>
      <c r="P293" s="25">
        <v>-3.18402281955099</v>
      </c>
      <c r="Q293" s="25">
        <v>0.0244278897061165</v>
      </c>
      <c r="R293" s="25">
        <v>-4.75464860598852</v>
      </c>
      <c r="S293" s="25">
        <v>-0.506845646885048</v>
      </c>
      <c r="T293" s="25">
        <v>-4.75464860598852</v>
      </c>
      <c r="U293" s="25">
        <v>-0.506845646885048</v>
      </c>
    </row>
    <row r="294">
      <c r="M294" s="25">
        <v>100.0</v>
      </c>
      <c r="N294" s="25">
        <v>-3.22557471264368</v>
      </c>
      <c r="O294" s="25">
        <v>0.76894600017326</v>
      </c>
      <c r="P294" s="25">
        <v>-4.19480004046693</v>
      </c>
      <c r="Q294" s="25">
        <v>0.00853220731899955</v>
      </c>
      <c r="R294" s="25">
        <v>-5.20221333327426</v>
      </c>
      <c r="S294" s="25">
        <v>-1.2489360920131</v>
      </c>
      <c r="T294" s="25">
        <v>-5.20221333327426</v>
      </c>
      <c r="U294" s="25">
        <v>-1.2489360920131</v>
      </c>
    </row>
    <row r="295">
      <c r="M295" s="25" t="s">
        <v>138</v>
      </c>
      <c r="N295" s="25">
        <v>-0.905172413793104</v>
      </c>
      <c r="O295" s="25">
        <v>0.84349971882858</v>
      </c>
      <c r="P295" s="25">
        <v>-1.07311525254587</v>
      </c>
      <c r="Q295" s="25">
        <v>0.332257519716675</v>
      </c>
      <c r="R295" s="25">
        <v>-3.07345746937819</v>
      </c>
      <c r="S295" s="25">
        <v>1.26311264179198</v>
      </c>
      <c r="T295" s="25">
        <v>-3.07345746937819</v>
      </c>
      <c r="U295" s="25">
        <v>1.26311264179198</v>
      </c>
    </row>
    <row r="296">
      <c r="M296" s="25" t="s">
        <v>139</v>
      </c>
      <c r="N296" s="25">
        <v>-1.02442528735632</v>
      </c>
      <c r="O296" s="25">
        <v>0.76894600017326</v>
      </c>
      <c r="P296" s="25">
        <v>-1.33224607075854</v>
      </c>
      <c r="Q296" s="25">
        <v>0.240270625968859</v>
      </c>
      <c r="R296" s="25">
        <v>-3.0010639079869</v>
      </c>
      <c r="S296" s="25">
        <v>0.952213333274259</v>
      </c>
      <c r="T296" s="25">
        <v>-3.0010639079869</v>
      </c>
      <c r="U296" s="25">
        <v>0.952213333274259</v>
      </c>
    </row>
    <row r="297">
      <c r="M297" s="25" t="s">
        <v>140</v>
      </c>
      <c r="N297" s="25">
        <v>-0.482758620689656</v>
      </c>
      <c r="O297" s="25">
        <v>0.646340961816531</v>
      </c>
      <c r="P297" s="25">
        <v>-0.746910143731058</v>
      </c>
      <c r="Q297" s="25">
        <v>0.488730111978861</v>
      </c>
      <c r="R297" s="25">
        <v>-2.14423095676294</v>
      </c>
      <c r="S297" s="25">
        <v>1.17871371538362</v>
      </c>
      <c r="T297" s="25">
        <v>-2.14423095676294</v>
      </c>
      <c r="U297" s="25">
        <v>1.17871371538362</v>
      </c>
    </row>
    <row r="298">
      <c r="M298" s="25" t="s">
        <v>141</v>
      </c>
      <c r="N298" s="25">
        <v>-1.10057471264368</v>
      </c>
      <c r="O298" s="25">
        <v>0.76894600017326</v>
      </c>
      <c r="P298" s="25">
        <v>-1.4312769848542</v>
      </c>
      <c r="Q298" s="25">
        <v>0.211764673264801</v>
      </c>
      <c r="R298" s="25">
        <v>-3.07721333327426</v>
      </c>
      <c r="S298" s="25">
        <v>0.876063907986903</v>
      </c>
      <c r="T298" s="25">
        <v>-3.07721333327426</v>
      </c>
      <c r="U298" s="25">
        <v>0.876063907986903</v>
      </c>
    </row>
    <row r="299">
      <c r="M299" s="25" t="s">
        <v>142</v>
      </c>
      <c r="N299" s="25">
        <v>-1.25574712643678</v>
      </c>
      <c r="O299" s="25">
        <v>0.826233753817057</v>
      </c>
      <c r="P299" s="25">
        <v>-1.51984486307349</v>
      </c>
      <c r="Q299" s="25">
        <v>0.189022096956905</v>
      </c>
      <c r="R299" s="25">
        <v>-3.37964860598851</v>
      </c>
      <c r="S299" s="25">
        <v>0.868154353114952</v>
      </c>
      <c r="T299" s="25">
        <v>-3.37964860598851</v>
      </c>
      <c r="U299" s="25">
        <v>0.868154353114952</v>
      </c>
    </row>
    <row r="300">
      <c r="M300" s="25">
        <v>0.2</v>
      </c>
      <c r="N300" s="25">
        <v>0.844827586206896</v>
      </c>
      <c r="O300" s="25">
        <v>0.84349971882858</v>
      </c>
      <c r="P300" s="25">
        <v>1.00157423570948</v>
      </c>
      <c r="Q300" s="25">
        <v>0.362526356404857</v>
      </c>
      <c r="R300" s="25">
        <v>-1.32345746937819</v>
      </c>
      <c r="S300" s="25">
        <v>3.01311264179198</v>
      </c>
      <c r="T300" s="25">
        <v>-1.32345746937819</v>
      </c>
      <c r="U300" s="25">
        <v>3.01311264179198</v>
      </c>
    </row>
    <row r="301">
      <c r="M301" s="57">
        <v>0.25</v>
      </c>
      <c r="N301" s="57">
        <v>1.10057471264368</v>
      </c>
      <c r="O301" s="57">
        <v>0.76894600017326</v>
      </c>
      <c r="P301" s="57">
        <v>1.4312769848542</v>
      </c>
      <c r="Q301" s="57">
        <v>0.211764673264801</v>
      </c>
      <c r="R301" s="57">
        <v>-0.876063907986903</v>
      </c>
      <c r="S301" s="57">
        <v>3.07721333327426</v>
      </c>
      <c r="T301" s="57">
        <v>-0.876063907986903</v>
      </c>
      <c r="U301" s="57">
        <v>3.07721333327426</v>
      </c>
    </row>
  </sheetData>
  <mergeCells count="111">
    <mergeCell ref="AB134:AB135"/>
    <mergeCell ref="AB136:AB138"/>
    <mergeCell ref="AB98:AB100"/>
    <mergeCell ref="AB101:AB103"/>
    <mergeCell ref="AB104:AB105"/>
    <mergeCell ref="AB106:AB108"/>
    <mergeCell ref="AB109:AB111"/>
    <mergeCell ref="AB128:AB130"/>
    <mergeCell ref="AB131:AB133"/>
    <mergeCell ref="Y158:Y160"/>
    <mergeCell ref="Y161:Y163"/>
    <mergeCell ref="AB161:AB163"/>
    <mergeCell ref="Y164:Y165"/>
    <mergeCell ref="AB164:AB165"/>
    <mergeCell ref="Y166:Y168"/>
    <mergeCell ref="Y169:Y171"/>
    <mergeCell ref="AB191:AB193"/>
    <mergeCell ref="AB194:AB195"/>
    <mergeCell ref="Y196:Y198"/>
    <mergeCell ref="AB196:AB198"/>
    <mergeCell ref="Y199:Y201"/>
    <mergeCell ref="AB199:AB201"/>
    <mergeCell ref="AB166:AB168"/>
    <mergeCell ref="AB169:AB171"/>
    <mergeCell ref="M188:N188"/>
    <mergeCell ref="Y188:Y190"/>
    <mergeCell ref="AB188:AB190"/>
    <mergeCell ref="Y191:Y193"/>
    <mergeCell ref="M218:N218"/>
    <mergeCell ref="M248:N248"/>
    <mergeCell ref="Y251:Y253"/>
    <mergeCell ref="Y254:Y255"/>
    <mergeCell ref="Y256:Y258"/>
    <mergeCell ref="Y259:Y261"/>
    <mergeCell ref="M278:N278"/>
    <mergeCell ref="Y278:Y280"/>
    <mergeCell ref="AB254:AB255"/>
    <mergeCell ref="AB256:AB258"/>
    <mergeCell ref="AB259:AB261"/>
    <mergeCell ref="AB278:AB280"/>
    <mergeCell ref="AB281:AB283"/>
    <mergeCell ref="AB284:AB285"/>
    <mergeCell ref="AB286:AB288"/>
    <mergeCell ref="AB289:AB291"/>
    <mergeCell ref="AB218:AB220"/>
    <mergeCell ref="AB221:AB223"/>
    <mergeCell ref="AB224:AB225"/>
    <mergeCell ref="AB226:AB228"/>
    <mergeCell ref="AB229:AB231"/>
    <mergeCell ref="AB248:AB250"/>
    <mergeCell ref="AB251:AB253"/>
    <mergeCell ref="Y281:Y283"/>
    <mergeCell ref="Y284:Y285"/>
    <mergeCell ref="Y286:Y288"/>
    <mergeCell ref="Y289:Y291"/>
    <mergeCell ref="Y194:Y195"/>
    <mergeCell ref="Y218:Y220"/>
    <mergeCell ref="Y221:Y223"/>
    <mergeCell ref="Y224:Y225"/>
    <mergeCell ref="Y226:Y228"/>
    <mergeCell ref="Y229:Y231"/>
    <mergeCell ref="Y248:Y250"/>
    <mergeCell ref="A4:AB6"/>
    <mergeCell ref="M9:N9"/>
    <mergeCell ref="Y9:Y11"/>
    <mergeCell ref="AB9:AB11"/>
    <mergeCell ref="Y12:Y14"/>
    <mergeCell ref="AB12:AB14"/>
    <mergeCell ref="AB15:AB16"/>
    <mergeCell ref="Y15:Y16"/>
    <mergeCell ref="Y17:Y19"/>
    <mergeCell ref="AB17:AB19"/>
    <mergeCell ref="Y20:Y22"/>
    <mergeCell ref="AB20:AB22"/>
    <mergeCell ref="M38:N38"/>
    <mergeCell ref="AB38:AB40"/>
    <mergeCell ref="Y38:Y40"/>
    <mergeCell ref="Y41:Y43"/>
    <mergeCell ref="AB41:AB43"/>
    <mergeCell ref="Y44:Y45"/>
    <mergeCell ref="AB44:AB45"/>
    <mergeCell ref="Y46:Y48"/>
    <mergeCell ref="Y49:Y51"/>
    <mergeCell ref="AB71:AB73"/>
    <mergeCell ref="AB74:AB75"/>
    <mergeCell ref="Y76:Y78"/>
    <mergeCell ref="AB76:AB78"/>
    <mergeCell ref="Y79:Y81"/>
    <mergeCell ref="AB79:AB81"/>
    <mergeCell ref="AB46:AB48"/>
    <mergeCell ref="AB49:AB51"/>
    <mergeCell ref="M68:N68"/>
    <mergeCell ref="Y68:Y70"/>
    <mergeCell ref="AB68:AB70"/>
    <mergeCell ref="Y71:Y73"/>
    <mergeCell ref="M98:N98"/>
    <mergeCell ref="M128:N128"/>
    <mergeCell ref="Y131:Y133"/>
    <mergeCell ref="Y134:Y135"/>
    <mergeCell ref="Y136:Y138"/>
    <mergeCell ref="Y139:Y141"/>
    <mergeCell ref="AB139:AB141"/>
    <mergeCell ref="M158:N158"/>
    <mergeCell ref="AB158:AB160"/>
    <mergeCell ref="Y74:Y75"/>
    <mergeCell ref="Y98:Y100"/>
    <mergeCell ref="Y101:Y103"/>
    <mergeCell ref="Y104:Y105"/>
    <mergeCell ref="Y106:Y108"/>
    <mergeCell ref="Y109:Y111"/>
    <mergeCell ref="Y128:Y130"/>
  </mergeCells>
  <printOptions/>
  <pageMargins bottom="1.0" footer="0.0" header="0.0" left="0.75" right="0.75" top="1.0"/>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9" width="11.0"/>
    <col customWidth="1" min="10" max="10" width="17.5"/>
    <col customWidth="1" min="11" max="12" width="11.0"/>
    <col customWidth="1" min="13" max="13" width="18.0"/>
    <col customWidth="1" min="14" max="14" width="32.0"/>
    <col customWidth="1" min="15" max="15" width="23.38"/>
    <col customWidth="1" min="16" max="16" width="26.88"/>
    <col customWidth="1" min="17" max="26" width="11.0"/>
  </cols>
  <sheetData>
    <row r="1">
      <c r="A1" s="33" t="s">
        <v>185</v>
      </c>
    </row>
    <row r="2"/>
    <row r="3">
      <c r="A3" s="22">
        <v>50.0</v>
      </c>
      <c r="B3" s="22">
        <v>100.0</v>
      </c>
      <c r="C3" s="23" t="s">
        <v>138</v>
      </c>
      <c r="D3" s="23" t="s">
        <v>139</v>
      </c>
      <c r="E3" s="22" t="s">
        <v>140</v>
      </c>
      <c r="F3" s="2" t="s">
        <v>141</v>
      </c>
      <c r="G3" s="2" t="s">
        <v>142</v>
      </c>
      <c r="H3" s="24">
        <v>0.2</v>
      </c>
      <c r="I3" s="24">
        <v>0.25</v>
      </c>
      <c r="J3" s="67" t="s">
        <v>121</v>
      </c>
      <c r="M3" s="35"/>
      <c r="N3" s="36" t="s">
        <v>156</v>
      </c>
      <c r="O3" s="37"/>
    </row>
    <row r="4">
      <c r="A4" s="25">
        <v>0.0</v>
      </c>
      <c r="B4" s="25">
        <v>1.0</v>
      </c>
      <c r="C4" s="25">
        <v>0.0</v>
      </c>
      <c r="D4" s="25">
        <v>0.0</v>
      </c>
      <c r="E4" s="25">
        <v>1.0</v>
      </c>
      <c r="F4" s="25">
        <v>1.0</v>
      </c>
      <c r="G4" s="25">
        <v>0.0</v>
      </c>
      <c r="H4" s="25">
        <v>0.0</v>
      </c>
      <c r="I4" s="25">
        <v>1.0</v>
      </c>
      <c r="J4" s="5">
        <v>4.0</v>
      </c>
      <c r="M4" s="38" t="s">
        <v>157</v>
      </c>
      <c r="N4" s="39"/>
      <c r="O4" s="40">
        <f>B38</f>
        <v>6.035201149</v>
      </c>
      <c r="P4" s="41" t="s">
        <v>158</v>
      </c>
    </row>
    <row r="5">
      <c r="A5" s="25">
        <v>0.0</v>
      </c>
      <c r="B5" s="25">
        <v>0.0</v>
      </c>
      <c r="C5" s="25">
        <v>1.0</v>
      </c>
      <c r="D5" s="25">
        <v>0.0</v>
      </c>
      <c r="E5" s="25">
        <v>0.0</v>
      </c>
      <c r="F5" s="25">
        <v>0.0</v>
      </c>
      <c r="G5" s="25">
        <v>0.0</v>
      </c>
      <c r="H5" s="25">
        <v>1.0</v>
      </c>
      <c r="I5" s="25">
        <v>0.0</v>
      </c>
      <c r="J5" s="5">
        <v>6.0</v>
      </c>
      <c r="M5" s="44" t="s">
        <v>145</v>
      </c>
      <c r="N5" s="45">
        <v>0.0</v>
      </c>
      <c r="O5" s="46">
        <v>0.0</v>
      </c>
      <c r="P5" s="47">
        <f>IF(O5=MAX(O5:O7),N5,IF(O6=MAX(O5:O7),N6,N7))</f>
        <v>50</v>
      </c>
    </row>
    <row r="6">
      <c r="A6" s="25">
        <v>0.0</v>
      </c>
      <c r="B6" s="25">
        <v>0.0</v>
      </c>
      <c r="C6" s="25">
        <v>0.0</v>
      </c>
      <c r="D6" s="25">
        <v>0.0</v>
      </c>
      <c r="E6" s="25">
        <v>0.0</v>
      </c>
      <c r="F6" s="25">
        <v>0.0</v>
      </c>
      <c r="G6" s="25">
        <v>1.0</v>
      </c>
      <c r="H6" s="25">
        <v>0.0</v>
      </c>
      <c r="I6" s="25">
        <v>1.0</v>
      </c>
      <c r="J6" s="5">
        <v>7.0</v>
      </c>
      <c r="M6" s="48"/>
      <c r="N6" s="49">
        <v>50.0</v>
      </c>
      <c r="O6" s="50">
        <f t="shared" ref="O6:O7" si="1">B39</f>
        <v>0.3746408046</v>
      </c>
      <c r="P6" s="51"/>
    </row>
    <row r="7">
      <c r="A7" s="25">
        <v>1.0</v>
      </c>
      <c r="B7" s="25">
        <v>0.0</v>
      </c>
      <c r="C7" s="25">
        <v>1.0</v>
      </c>
      <c r="D7" s="25">
        <v>0.0</v>
      </c>
      <c r="E7" s="25">
        <v>1.0</v>
      </c>
      <c r="F7" s="25">
        <v>0.0</v>
      </c>
      <c r="G7" s="25">
        <v>1.0</v>
      </c>
      <c r="H7" s="25">
        <v>0.0</v>
      </c>
      <c r="I7" s="25">
        <v>1.0</v>
      </c>
      <c r="J7" s="5">
        <v>6.0</v>
      </c>
      <c r="M7" s="52"/>
      <c r="N7" s="53">
        <v>100.0</v>
      </c>
      <c r="O7" s="54">
        <f t="shared" si="1"/>
        <v>0.2905890805</v>
      </c>
      <c r="P7" s="51"/>
    </row>
    <row r="8">
      <c r="A8" s="25">
        <v>0.0</v>
      </c>
      <c r="B8" s="25">
        <v>0.0</v>
      </c>
      <c r="C8" s="25">
        <v>0.0</v>
      </c>
      <c r="D8" s="25">
        <v>0.0</v>
      </c>
      <c r="E8" s="25">
        <v>1.0</v>
      </c>
      <c r="F8" s="25">
        <v>0.0</v>
      </c>
      <c r="G8" s="25">
        <v>0.0</v>
      </c>
      <c r="H8" s="25">
        <v>1.0</v>
      </c>
      <c r="I8" s="25">
        <v>0.0</v>
      </c>
      <c r="J8" s="5">
        <v>4.0</v>
      </c>
      <c r="M8" s="55" t="s">
        <v>146</v>
      </c>
      <c r="N8" s="32" t="s">
        <v>147</v>
      </c>
      <c r="O8" s="50">
        <v>0.0</v>
      </c>
      <c r="P8" s="61" t="str">
        <f>IF(O8=MAX(O8:O10),N8,IF(O9=MAX(O8:O10),N9,N10))</f>
        <v>Dining &amp; Grocery Cashback (3%)</v>
      </c>
    </row>
    <row r="9">
      <c r="A9" s="25">
        <v>0.0</v>
      </c>
      <c r="B9" s="25">
        <v>1.0</v>
      </c>
      <c r="C9" s="25">
        <v>0.0</v>
      </c>
      <c r="D9" s="25">
        <v>1.0</v>
      </c>
      <c r="E9" s="25">
        <v>1.0</v>
      </c>
      <c r="F9" s="25">
        <v>0.0</v>
      </c>
      <c r="G9" s="25">
        <v>1.0</v>
      </c>
      <c r="H9" s="25">
        <v>1.0</v>
      </c>
      <c r="I9" s="25">
        <v>0.0</v>
      </c>
      <c r="J9" s="5">
        <v>5.0</v>
      </c>
      <c r="M9" s="48"/>
      <c r="N9" s="32" t="s">
        <v>164</v>
      </c>
      <c r="O9" s="50">
        <f t="shared" ref="O9:O10" si="2">B41</f>
        <v>-0.1659482759</v>
      </c>
      <c r="P9" s="51"/>
    </row>
    <row r="10">
      <c r="A10" s="25">
        <v>0.0</v>
      </c>
      <c r="B10" s="25">
        <v>1.0</v>
      </c>
      <c r="C10" s="25">
        <v>0.0</v>
      </c>
      <c r="D10" s="25">
        <v>0.0</v>
      </c>
      <c r="E10" s="25">
        <v>0.0</v>
      </c>
      <c r="F10" s="25">
        <v>1.0</v>
      </c>
      <c r="G10" s="25">
        <v>0.0</v>
      </c>
      <c r="H10" s="25">
        <v>0.0</v>
      </c>
      <c r="I10" s="25">
        <v>0.0</v>
      </c>
      <c r="J10" s="5">
        <v>7.0</v>
      </c>
      <c r="M10" s="52"/>
      <c r="N10" s="58" t="s">
        <v>166</v>
      </c>
      <c r="O10" s="54">
        <f t="shared" si="2"/>
        <v>-1.16558908</v>
      </c>
      <c r="P10" s="59"/>
    </row>
    <row r="11">
      <c r="A11" s="25">
        <v>0.0</v>
      </c>
      <c r="B11" s="25">
        <v>1.0</v>
      </c>
      <c r="C11" s="25">
        <v>0.0</v>
      </c>
      <c r="D11" s="25">
        <v>1.0</v>
      </c>
      <c r="E11" s="25">
        <v>1.0</v>
      </c>
      <c r="F11" s="25">
        <v>0.0</v>
      </c>
      <c r="G11" s="25">
        <v>0.0</v>
      </c>
      <c r="H11" s="25">
        <v>0.0</v>
      </c>
      <c r="I11" s="25">
        <v>0.0</v>
      </c>
      <c r="J11" s="5">
        <v>5.0</v>
      </c>
      <c r="M11" s="44" t="s">
        <v>148</v>
      </c>
      <c r="N11" s="60" t="s">
        <v>149</v>
      </c>
      <c r="O11" s="46">
        <v>0.0</v>
      </c>
      <c r="P11" s="61" t="str">
        <f>IF(O11=MAX(O11:O12),N11,N12)</f>
        <v>Yes</v>
      </c>
    </row>
    <row r="12">
      <c r="A12" s="25">
        <v>0.0</v>
      </c>
      <c r="B12" s="25">
        <v>1.0</v>
      </c>
      <c r="C12" s="25">
        <v>1.0</v>
      </c>
      <c r="D12" s="25">
        <v>0.0</v>
      </c>
      <c r="E12" s="25">
        <v>0.0</v>
      </c>
      <c r="F12" s="25">
        <v>0.0</v>
      </c>
      <c r="G12" s="25">
        <v>0.0</v>
      </c>
      <c r="H12" s="25">
        <v>0.0</v>
      </c>
      <c r="I12" s="25">
        <v>1.0</v>
      </c>
      <c r="J12" s="5">
        <v>4.0</v>
      </c>
      <c r="M12" s="52"/>
      <c r="N12" s="58" t="s">
        <v>140</v>
      </c>
      <c r="O12" s="54">
        <f>B43</f>
        <v>-0.9051724138</v>
      </c>
      <c r="P12" s="59"/>
    </row>
    <row r="13">
      <c r="A13" s="25">
        <v>1.0</v>
      </c>
      <c r="B13" s="25">
        <v>0.0</v>
      </c>
      <c r="C13" s="25">
        <v>0.0</v>
      </c>
      <c r="D13" s="25">
        <v>0.0</v>
      </c>
      <c r="E13" s="25">
        <v>1.0</v>
      </c>
      <c r="F13" s="25">
        <v>0.0</v>
      </c>
      <c r="G13" s="25">
        <v>0.0</v>
      </c>
      <c r="H13" s="25">
        <v>0.0</v>
      </c>
      <c r="I13" s="25">
        <v>0.0</v>
      </c>
      <c r="J13" s="5">
        <v>5.0</v>
      </c>
      <c r="M13" s="44" t="s">
        <v>173</v>
      </c>
      <c r="N13" s="62" t="s">
        <v>151</v>
      </c>
      <c r="O13" s="46">
        <v>0.0</v>
      </c>
      <c r="P13" s="56" t="str">
        <f>IF(O13=MAX(O13:O15),N13,IF(O14=MAX(O13:O15),N14,N15))</f>
        <v>Amex</v>
      </c>
    </row>
    <row r="14">
      <c r="A14" s="25">
        <v>0.0</v>
      </c>
      <c r="B14" s="25">
        <v>0.0</v>
      </c>
      <c r="C14" s="25">
        <v>0.0</v>
      </c>
      <c r="D14" s="25">
        <v>1.0</v>
      </c>
      <c r="E14" s="25">
        <v>0.0</v>
      </c>
      <c r="F14" s="25">
        <v>0.0</v>
      </c>
      <c r="G14" s="25">
        <v>1.0</v>
      </c>
      <c r="H14" s="25">
        <v>0.0</v>
      </c>
      <c r="I14" s="25">
        <v>0.0</v>
      </c>
      <c r="J14" s="5">
        <v>5.0</v>
      </c>
      <c r="M14" s="48"/>
      <c r="N14" s="23" t="s">
        <v>141</v>
      </c>
      <c r="O14" s="50">
        <f t="shared" ref="O14:O15" si="3">B44</f>
        <v>-0.08441091954</v>
      </c>
      <c r="P14" s="51"/>
    </row>
    <row r="15">
      <c r="A15" s="25">
        <v>1.0</v>
      </c>
      <c r="B15" s="25">
        <v>0.0</v>
      </c>
      <c r="C15" s="25">
        <v>0.0</v>
      </c>
      <c r="D15" s="25">
        <v>1.0</v>
      </c>
      <c r="E15" s="25">
        <v>0.0</v>
      </c>
      <c r="F15" s="25">
        <v>1.0</v>
      </c>
      <c r="G15" s="25">
        <v>0.0</v>
      </c>
      <c r="H15" s="25">
        <v>1.0</v>
      </c>
      <c r="I15" s="25">
        <v>0.0</v>
      </c>
      <c r="J15" s="5">
        <v>4.0</v>
      </c>
      <c r="M15" s="52"/>
      <c r="N15" s="58" t="s">
        <v>142</v>
      </c>
      <c r="O15" s="54">
        <f t="shared" si="3"/>
        <v>1.249640805</v>
      </c>
      <c r="P15" s="59"/>
    </row>
    <row r="16">
      <c r="A16" s="25">
        <v>1.0</v>
      </c>
      <c r="B16" s="25">
        <v>0.0</v>
      </c>
      <c r="C16" s="25">
        <v>0.0</v>
      </c>
      <c r="D16" s="25">
        <v>1.0</v>
      </c>
      <c r="E16" s="25">
        <v>0.0</v>
      </c>
      <c r="F16" s="25">
        <v>0.0</v>
      </c>
      <c r="G16" s="25">
        <v>0.0</v>
      </c>
      <c r="H16" s="25">
        <v>0.0</v>
      </c>
      <c r="I16" s="25">
        <v>1.0</v>
      </c>
      <c r="J16" s="5">
        <v>5.0</v>
      </c>
      <c r="M16" s="44" t="s">
        <v>177</v>
      </c>
      <c r="N16" s="63">
        <v>0.15</v>
      </c>
      <c r="O16" s="46">
        <v>0.0</v>
      </c>
      <c r="P16" s="64">
        <f>IF(O16=MAX(O16:O18),N16,IF(O17=MAX(O16:O18),N17,N18))</f>
        <v>0.15</v>
      </c>
    </row>
    <row r="17">
      <c r="A17" s="25">
        <v>0.0</v>
      </c>
      <c r="B17" s="25">
        <v>0.0</v>
      </c>
      <c r="C17" s="25">
        <v>1.0</v>
      </c>
      <c r="D17" s="25">
        <v>0.0</v>
      </c>
      <c r="E17" s="25">
        <v>1.0</v>
      </c>
      <c r="F17" s="25">
        <v>1.0</v>
      </c>
      <c r="G17" s="25">
        <v>0.0</v>
      </c>
      <c r="H17" s="25">
        <v>0.0</v>
      </c>
      <c r="I17" s="25">
        <v>0.0</v>
      </c>
      <c r="J17" s="5">
        <v>5.0</v>
      </c>
      <c r="M17" s="48"/>
      <c r="N17" s="65">
        <v>0.2</v>
      </c>
      <c r="O17" s="50">
        <f t="shared" ref="O17:O18" si="4">B46</f>
        <v>-0.6659482759</v>
      </c>
      <c r="P17" s="51"/>
    </row>
    <row r="18">
      <c r="A18" s="25">
        <v>0.0</v>
      </c>
      <c r="B18" s="25">
        <v>0.0</v>
      </c>
      <c r="C18" s="25">
        <v>0.0</v>
      </c>
      <c r="D18" s="25">
        <v>1.0</v>
      </c>
      <c r="E18" s="25">
        <v>1.0</v>
      </c>
      <c r="F18" s="25">
        <v>1.0</v>
      </c>
      <c r="G18" s="25">
        <v>0.0</v>
      </c>
      <c r="H18" s="25">
        <v>0.0</v>
      </c>
      <c r="I18" s="25">
        <v>1.0</v>
      </c>
      <c r="J18" s="5">
        <v>3.0</v>
      </c>
      <c r="M18" s="52"/>
      <c r="N18" s="66">
        <v>0.25</v>
      </c>
      <c r="O18" s="54">
        <f t="shared" si="4"/>
        <v>-0.9155890805</v>
      </c>
      <c r="P18" s="59"/>
    </row>
    <row r="19"/>
    <row r="20"/>
    <row r="22">
      <c r="A22" s="25" t="s">
        <v>155</v>
      </c>
    </row>
    <row r="23">
      <c r="M23" s="68" t="s">
        <v>186</v>
      </c>
    </row>
    <row r="24">
      <c r="A24" s="42" t="s">
        <v>159</v>
      </c>
      <c r="B24" s="43"/>
      <c r="M24" s="69" t="s">
        <v>187</v>
      </c>
      <c r="N24" s="70"/>
      <c r="O24" s="70"/>
    </row>
    <row r="25">
      <c r="A25" s="25" t="s">
        <v>160</v>
      </c>
      <c r="B25" s="25">
        <v>0.800889013537524</v>
      </c>
      <c r="M25" s="71" t="s">
        <v>188</v>
      </c>
      <c r="N25" s="71" t="s">
        <v>189</v>
      </c>
      <c r="O25" s="71" t="s">
        <v>190</v>
      </c>
    </row>
    <row r="26">
      <c r="A26" s="25" t="s">
        <v>161</v>
      </c>
      <c r="B26" s="25">
        <v>0.641423212005109</v>
      </c>
      <c r="M26" s="71" t="s">
        <v>145</v>
      </c>
      <c r="N26" s="71" t="s">
        <v>191</v>
      </c>
      <c r="O26" s="71" t="s">
        <v>192</v>
      </c>
    </row>
    <row r="27">
      <c r="A27" s="25" t="s">
        <v>162</v>
      </c>
      <c r="B27" s="25">
        <v>-0.00401500638569545</v>
      </c>
      <c r="M27" s="71" t="s">
        <v>146</v>
      </c>
      <c r="N27" s="72" t="s">
        <v>193</v>
      </c>
      <c r="O27" s="72" t="s">
        <v>194</v>
      </c>
    </row>
    <row r="28">
      <c r="A28" s="25" t="s">
        <v>163</v>
      </c>
      <c r="B28" s="25">
        <v>1.13616743342767</v>
      </c>
      <c r="M28" s="71" t="s">
        <v>148</v>
      </c>
      <c r="N28" s="72" t="s">
        <v>195</v>
      </c>
      <c r="O28" s="72" t="s">
        <v>196</v>
      </c>
    </row>
    <row r="29">
      <c r="A29" s="57" t="s">
        <v>165</v>
      </c>
      <c r="B29" s="57">
        <v>15.0</v>
      </c>
      <c r="M29" s="71" t="s">
        <v>150</v>
      </c>
      <c r="N29" s="72" t="s">
        <v>197</v>
      </c>
      <c r="O29" s="72" t="s">
        <v>198</v>
      </c>
    </row>
    <row r="30">
      <c r="M30" s="71" t="s">
        <v>152</v>
      </c>
      <c r="N30" s="72" t="s">
        <v>199</v>
      </c>
      <c r="O30" s="72" t="s">
        <v>200</v>
      </c>
    </row>
    <row r="31">
      <c r="A31" s="25" t="s">
        <v>167</v>
      </c>
      <c r="M31" s="71" t="s">
        <v>201</v>
      </c>
      <c r="N31" s="71">
        <v>7.6642</v>
      </c>
      <c r="O31" s="71">
        <v>2.9692</v>
      </c>
    </row>
    <row r="32">
      <c r="A32" s="42"/>
      <c r="B32" s="42" t="s">
        <v>168</v>
      </c>
      <c r="C32" s="42" t="s">
        <v>169</v>
      </c>
      <c r="D32" s="42" t="s">
        <v>170</v>
      </c>
      <c r="E32" s="42" t="s">
        <v>171</v>
      </c>
      <c r="F32" s="42" t="s">
        <v>172</v>
      </c>
    </row>
    <row r="33">
      <c r="A33" s="25" t="s">
        <v>174</v>
      </c>
      <c r="B33" s="25">
        <v>9.0</v>
      </c>
      <c r="C33" s="25">
        <v>11.545617816092</v>
      </c>
      <c r="D33" s="25">
        <v>1.28284642401022</v>
      </c>
      <c r="E33" s="25">
        <v>0.993779410218835</v>
      </c>
      <c r="F33" s="25">
        <v>0.533509195981986</v>
      </c>
    </row>
    <row r="34">
      <c r="A34" s="25" t="s">
        <v>175</v>
      </c>
      <c r="B34" s="25">
        <v>5.0</v>
      </c>
      <c r="C34" s="25">
        <v>6.45438218390804</v>
      </c>
      <c r="D34" s="25">
        <v>1.29087643678161</v>
      </c>
      <c r="M34" s="70"/>
      <c r="N34" s="70"/>
      <c r="O34" s="70"/>
    </row>
    <row r="35">
      <c r="A35" s="57" t="s">
        <v>176</v>
      </c>
      <c r="B35" s="57">
        <v>14.0</v>
      </c>
      <c r="C35" s="57">
        <v>18.0</v>
      </c>
      <c r="D35" s="57"/>
      <c r="E35" s="57"/>
      <c r="F35" s="57"/>
      <c r="M35" s="73"/>
      <c r="N35" s="73"/>
      <c r="O35" s="73"/>
    </row>
    <row r="36">
      <c r="M36" s="73"/>
      <c r="N36" s="74"/>
      <c r="O36" s="70"/>
    </row>
    <row r="37">
      <c r="A37" s="42"/>
      <c r="B37" s="42" t="s">
        <v>178</v>
      </c>
      <c r="C37" s="42" t="s">
        <v>163</v>
      </c>
      <c r="D37" s="42" t="s">
        <v>179</v>
      </c>
      <c r="E37" s="42" t="s">
        <v>180</v>
      </c>
      <c r="F37" s="42" t="s">
        <v>181</v>
      </c>
      <c r="G37" s="42" t="s">
        <v>182</v>
      </c>
      <c r="H37" s="42" t="s">
        <v>183</v>
      </c>
      <c r="I37" s="42" t="s">
        <v>184</v>
      </c>
      <c r="M37" s="73"/>
      <c r="N37" s="70"/>
      <c r="O37" s="70"/>
    </row>
    <row r="38">
      <c r="A38" s="25" t="s">
        <v>157</v>
      </c>
      <c r="B38" s="25">
        <v>6.03520114942529</v>
      </c>
      <c r="C38" s="25">
        <v>0.908484919098617</v>
      </c>
      <c r="D38" s="25">
        <v>6.64314951470335</v>
      </c>
      <c r="E38" s="25">
        <v>0.00116514731679086</v>
      </c>
      <c r="F38" s="25">
        <v>3.69986631844086</v>
      </c>
      <c r="G38" s="25">
        <v>8.37053598040972</v>
      </c>
      <c r="H38" s="25">
        <v>3.69986631844086</v>
      </c>
      <c r="I38" s="25">
        <v>8.37053598040972</v>
      </c>
      <c r="M38" s="73"/>
      <c r="N38" s="70"/>
      <c r="O38" s="70"/>
    </row>
    <row r="39">
      <c r="A39" s="25">
        <v>50.0</v>
      </c>
      <c r="B39" s="25">
        <v>0.374640804597701</v>
      </c>
      <c r="C39" s="25">
        <v>0.762833196504967</v>
      </c>
      <c r="D39" s="25">
        <v>0.491117594664434</v>
      </c>
      <c r="E39" s="25">
        <v>0.64413901160009</v>
      </c>
      <c r="F39" s="25">
        <v>-1.58628435395835</v>
      </c>
      <c r="G39" s="25">
        <v>2.33556596315376</v>
      </c>
      <c r="H39" s="25">
        <v>-1.58628435395835</v>
      </c>
      <c r="I39" s="25">
        <v>2.33556596315376</v>
      </c>
      <c r="M39" s="73"/>
      <c r="N39" s="70"/>
      <c r="O39" s="70"/>
    </row>
    <row r="40">
      <c r="A40" s="25">
        <v>100.0</v>
      </c>
      <c r="B40" s="25">
        <v>0.29058908045977</v>
      </c>
      <c r="C40" s="25">
        <v>0.709941384677145</v>
      </c>
      <c r="D40" s="25">
        <v>0.409314186680242</v>
      </c>
      <c r="E40" s="25">
        <v>0.699253300262214</v>
      </c>
      <c r="F40" s="25">
        <v>-1.53437334735779</v>
      </c>
      <c r="G40" s="25">
        <v>2.11555150827733</v>
      </c>
      <c r="H40" s="25">
        <v>-1.53437334735779</v>
      </c>
      <c r="I40" s="25">
        <v>2.11555150827733</v>
      </c>
      <c r="M40" s="73"/>
      <c r="N40" s="75"/>
      <c r="O40" s="70"/>
    </row>
    <row r="41">
      <c r="A41" s="25" t="s">
        <v>138</v>
      </c>
      <c r="B41" s="25">
        <v>-0.165948275862069</v>
      </c>
      <c r="C41" s="25">
        <v>0.778774267926504</v>
      </c>
      <c r="D41" s="25">
        <v>-0.213089058918072</v>
      </c>
      <c r="E41" s="25">
        <v>0.839673283738345</v>
      </c>
      <c r="F41" s="25">
        <v>-2.16785126305491</v>
      </c>
      <c r="G41" s="25">
        <v>1.83595471133077</v>
      </c>
      <c r="H41" s="25">
        <v>-2.16785126305491</v>
      </c>
      <c r="I41" s="25">
        <v>1.83595471133077</v>
      </c>
    </row>
    <row r="42">
      <c r="A42" s="25" t="s">
        <v>139</v>
      </c>
      <c r="B42" s="25">
        <v>-1.16558908045977</v>
      </c>
      <c r="C42" s="25">
        <v>0.709941384677145</v>
      </c>
      <c r="D42" s="25">
        <v>-1.64181030380394</v>
      </c>
      <c r="E42" s="25">
        <v>0.161552243499095</v>
      </c>
      <c r="F42" s="25">
        <v>-2.99055150827733</v>
      </c>
      <c r="G42" s="25">
        <v>0.659373347357792</v>
      </c>
      <c r="H42" s="25">
        <v>-2.99055150827733</v>
      </c>
      <c r="I42" s="25">
        <v>0.659373347357792</v>
      </c>
    </row>
    <row r="43">
      <c r="A43" s="25" t="s">
        <v>140</v>
      </c>
      <c r="B43" s="25">
        <v>-0.905172413793104</v>
      </c>
      <c r="C43" s="25">
        <v>0.596744371259092</v>
      </c>
      <c r="D43" s="25">
        <v>-1.51685119690907</v>
      </c>
      <c r="E43" s="25">
        <v>0.189750797128835</v>
      </c>
      <c r="F43" s="25">
        <v>-2.43915265506994</v>
      </c>
      <c r="G43" s="25">
        <v>0.628807827483732</v>
      </c>
      <c r="H43" s="25">
        <v>-2.43915265506994</v>
      </c>
      <c r="I43" s="25">
        <v>0.628807827483732</v>
      </c>
    </row>
    <row r="44">
      <c r="A44" s="25" t="s">
        <v>141</v>
      </c>
      <c r="B44" s="25">
        <v>-0.0844109195402293</v>
      </c>
      <c r="C44" s="25">
        <v>0.709941384677145</v>
      </c>
      <c r="D44" s="25">
        <v>-0.118898434944198</v>
      </c>
      <c r="E44" s="25">
        <v>0.909985078782576</v>
      </c>
      <c r="F44" s="25">
        <v>-1.90937334735779</v>
      </c>
      <c r="G44" s="25">
        <v>1.74055150827733</v>
      </c>
      <c r="H44" s="25">
        <v>-1.90937334735779</v>
      </c>
      <c r="I44" s="25">
        <v>1.74055150827733</v>
      </c>
    </row>
    <row r="45">
      <c r="A45" s="25" t="s">
        <v>142</v>
      </c>
      <c r="B45" s="25">
        <v>1.2496408045977</v>
      </c>
      <c r="C45" s="25">
        <v>0.762833196504967</v>
      </c>
      <c r="D45" s="25">
        <v>1.63815734596123</v>
      </c>
      <c r="E45" s="25">
        <v>0.162314702695365</v>
      </c>
      <c r="F45" s="25">
        <v>-0.711284353958354</v>
      </c>
      <c r="G45" s="25">
        <v>3.21056596315376</v>
      </c>
      <c r="H45" s="25">
        <v>-0.711284353958354</v>
      </c>
      <c r="I45" s="25">
        <v>3.21056596315376</v>
      </c>
    </row>
    <row r="46">
      <c r="A46" s="25">
        <v>0.2</v>
      </c>
      <c r="B46" s="25">
        <v>-0.665948275862069</v>
      </c>
      <c r="C46" s="25">
        <v>0.778774267926504</v>
      </c>
      <c r="D46" s="25">
        <v>-0.855123626047846</v>
      </c>
      <c r="E46" s="25">
        <v>0.431539931685025</v>
      </c>
      <c r="F46" s="25">
        <v>-2.66785126305491</v>
      </c>
      <c r="G46" s="25">
        <v>1.33595471133077</v>
      </c>
      <c r="H46" s="25">
        <v>-2.66785126305491</v>
      </c>
      <c r="I46" s="25">
        <v>1.33595471133077</v>
      </c>
    </row>
    <row r="47">
      <c r="A47" s="57">
        <v>0.25</v>
      </c>
      <c r="B47" s="57">
        <v>-0.91558908045977</v>
      </c>
      <c r="C47" s="57">
        <v>0.709941384677145</v>
      </c>
      <c r="D47" s="57">
        <v>-1.28966855605431</v>
      </c>
      <c r="E47" s="57">
        <v>0.253594996664173</v>
      </c>
      <c r="F47" s="57">
        <v>-2.74055150827733</v>
      </c>
      <c r="G47" s="57">
        <v>0.909373347357792</v>
      </c>
      <c r="H47" s="57">
        <v>-2.74055150827733</v>
      </c>
      <c r="I47" s="57">
        <v>0.909373347357792</v>
      </c>
    </row>
  </sheetData>
  <mergeCells count="11">
    <mergeCell ref="M13:M15"/>
    <mergeCell ref="M16:M18"/>
    <mergeCell ref="A24:B24"/>
    <mergeCell ref="M5:M7"/>
    <mergeCell ref="P5:P7"/>
    <mergeCell ref="M8:M10"/>
    <mergeCell ref="P8:P10"/>
    <mergeCell ref="M11:M12"/>
    <mergeCell ref="P11:P12"/>
    <mergeCell ref="P13:P15"/>
    <mergeCell ref="P16:P18"/>
  </mergeCells>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38"/>
    <col customWidth="1" min="2" max="2" width="16.63"/>
    <col customWidth="1" min="3" max="3" width="23.38"/>
    <col customWidth="1" min="4" max="4" width="26.88"/>
    <col customWidth="1" min="5" max="26" width="11.0"/>
  </cols>
  <sheetData>
    <row r="1">
      <c r="A1" s="33" t="s">
        <v>202</v>
      </c>
    </row>
    <row r="2"/>
    <row r="3">
      <c r="A3" s="35"/>
      <c r="B3" s="36" t="s">
        <v>156</v>
      </c>
      <c r="C3" s="37"/>
      <c r="D3" s="2"/>
    </row>
    <row r="4">
      <c r="A4" s="38" t="s">
        <v>157</v>
      </c>
      <c r="B4" s="39"/>
      <c r="C4" s="40">
        <v>6.04</v>
      </c>
      <c r="D4" s="76" t="s">
        <v>158</v>
      </c>
    </row>
    <row r="5">
      <c r="A5" s="44" t="s">
        <v>145</v>
      </c>
      <c r="B5" s="49">
        <v>0.0</v>
      </c>
      <c r="C5" s="50">
        <v>0.0</v>
      </c>
      <c r="D5" s="56">
        <v>50.0</v>
      </c>
    </row>
    <row r="6">
      <c r="A6" s="48"/>
      <c r="B6" s="49">
        <v>50.0</v>
      </c>
      <c r="C6" s="50">
        <v>0.374640805</v>
      </c>
      <c r="D6" s="51"/>
    </row>
    <row r="7">
      <c r="A7" s="52"/>
      <c r="B7" s="53">
        <v>100.0</v>
      </c>
      <c r="C7" s="54">
        <v>0.29058908</v>
      </c>
      <c r="D7" s="59"/>
    </row>
    <row r="8">
      <c r="A8" s="44" t="s">
        <v>146</v>
      </c>
      <c r="B8" s="32" t="s">
        <v>147</v>
      </c>
      <c r="C8" s="50">
        <v>0.0</v>
      </c>
      <c r="D8" s="56" t="s">
        <v>147</v>
      </c>
    </row>
    <row r="9">
      <c r="A9" s="48"/>
      <c r="B9" s="32" t="s">
        <v>164</v>
      </c>
      <c r="C9" s="50">
        <v>-0.165948276</v>
      </c>
      <c r="D9" s="51"/>
    </row>
    <row r="10">
      <c r="A10" s="52"/>
      <c r="B10" s="58" t="s">
        <v>166</v>
      </c>
      <c r="C10" s="54">
        <v>-1.16558908</v>
      </c>
      <c r="D10" s="59"/>
    </row>
    <row r="11">
      <c r="A11" s="44" t="s">
        <v>148</v>
      </c>
      <c r="B11" s="32" t="s">
        <v>149</v>
      </c>
      <c r="C11" s="50">
        <v>0.0</v>
      </c>
      <c r="D11" s="56" t="s">
        <v>149</v>
      </c>
    </row>
    <row r="12">
      <c r="A12" s="52"/>
      <c r="B12" s="58" t="s">
        <v>140</v>
      </c>
      <c r="C12" s="54">
        <v>-0.905172414</v>
      </c>
      <c r="D12" s="59"/>
    </row>
    <row r="13">
      <c r="A13" s="44" t="s">
        <v>173</v>
      </c>
      <c r="B13" s="23" t="s">
        <v>151</v>
      </c>
      <c r="C13" s="50">
        <v>0.0</v>
      </c>
      <c r="D13" s="56" t="s">
        <v>142</v>
      </c>
    </row>
    <row r="14">
      <c r="A14" s="48"/>
      <c r="B14" s="23" t="s">
        <v>141</v>
      </c>
      <c r="C14" s="50">
        <v>-0.08441092</v>
      </c>
      <c r="D14" s="51"/>
    </row>
    <row r="15">
      <c r="A15" s="52"/>
      <c r="B15" s="58" t="s">
        <v>142</v>
      </c>
      <c r="C15" s="54">
        <v>1.249640805</v>
      </c>
      <c r="D15" s="59"/>
    </row>
    <row r="16">
      <c r="A16" s="44" t="s">
        <v>177</v>
      </c>
      <c r="B16" s="65">
        <v>0.15</v>
      </c>
      <c r="C16" s="50">
        <v>0.0</v>
      </c>
      <c r="D16" s="56">
        <v>0.15</v>
      </c>
    </row>
    <row r="17">
      <c r="A17" s="48"/>
      <c r="B17" s="65">
        <v>0.2</v>
      </c>
      <c r="C17" s="50">
        <v>-0.665948276</v>
      </c>
      <c r="D17" s="51"/>
    </row>
    <row r="18">
      <c r="A18" s="52"/>
      <c r="B18" s="66">
        <v>0.25</v>
      </c>
      <c r="C18" s="54">
        <v>-0.91558908</v>
      </c>
      <c r="D18" s="59"/>
    </row>
    <row r="19"/>
    <row r="20"/>
    <row r="21">
      <c r="A21" s="77" t="s">
        <v>203</v>
      </c>
      <c r="B21" s="78"/>
      <c r="C21" s="78"/>
    </row>
    <row r="22">
      <c r="A22" s="79" t="s">
        <v>204</v>
      </c>
      <c r="B22" s="80"/>
      <c r="C22" s="81"/>
    </row>
    <row r="23">
      <c r="A23" s="82" t="s">
        <v>188</v>
      </c>
      <c r="B23" s="50" t="s">
        <v>205</v>
      </c>
      <c r="C23" s="83" t="s">
        <v>206</v>
      </c>
    </row>
    <row r="24">
      <c r="A24" s="82" t="s">
        <v>133</v>
      </c>
      <c r="B24" s="50">
        <f>MAX(C5:C7)-MIN(C5:C7)</f>
        <v>0.374640805</v>
      </c>
      <c r="C24" s="83">
        <f t="shared" ref="C24:C28" si="1">B24/SUM($B$24:$B$28)</f>
        <v>0.07979496603</v>
      </c>
    </row>
    <row r="25">
      <c r="A25" s="82" t="s">
        <v>134</v>
      </c>
      <c r="B25" s="50">
        <f>MAX(C8:C10)-MIN(C8:C10)</f>
        <v>1.16558908</v>
      </c>
      <c r="C25" s="83">
        <f t="shared" si="1"/>
        <v>0.2482595056</v>
      </c>
    </row>
    <row r="26">
      <c r="A26" s="82" t="s">
        <v>135</v>
      </c>
      <c r="B26" s="50">
        <f>MAX(C11:C12)-MIN(C11:C12)</f>
        <v>0.905172414</v>
      </c>
      <c r="C26" s="83">
        <f t="shared" si="1"/>
        <v>0.1927932064</v>
      </c>
    </row>
    <row r="27">
      <c r="A27" s="82" t="s">
        <v>136</v>
      </c>
      <c r="B27" s="50">
        <f>MAX(C13:C15)-MIN(C13:C15)</f>
        <v>1.334051725</v>
      </c>
      <c r="C27" s="83">
        <f t="shared" si="1"/>
        <v>0.2841404638</v>
      </c>
    </row>
    <row r="28">
      <c r="A28" s="84" t="s">
        <v>137</v>
      </c>
      <c r="B28" s="85">
        <f>MAX(C16:C18)-MIN(C16:C18)</f>
        <v>0.91558908</v>
      </c>
      <c r="C28" s="86">
        <f t="shared" si="1"/>
        <v>0.1950118582</v>
      </c>
    </row>
    <row r="30">
      <c r="C30" s="87"/>
    </row>
    <row r="31"/>
    <row r="32"/>
    <row r="33"/>
    <row r="34"/>
    <row r="35"/>
    <row r="36"/>
    <row r="37"/>
  </sheetData>
  <mergeCells count="11">
    <mergeCell ref="A13:A15"/>
    <mergeCell ref="A16:A18"/>
    <mergeCell ref="D16:D18"/>
    <mergeCell ref="A22:C22"/>
    <mergeCell ref="A5:A7"/>
    <mergeCell ref="D5:D7"/>
    <mergeCell ref="A8:A10"/>
    <mergeCell ref="D8:D10"/>
    <mergeCell ref="A11:A12"/>
    <mergeCell ref="D11:D12"/>
    <mergeCell ref="D13:D15"/>
  </mergeCells>
  <printOptions/>
  <pageMargins bottom="0.75" footer="0.0" header="0.0" left="0.7" right="0.7" top="0.75"/>
  <pageSetup paperSize="9" orientation="portrait"/>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 width="11.0"/>
    <col customWidth="1" min="6" max="6" width="16.38"/>
    <col customWidth="1" min="7" max="10" width="11.0"/>
    <col customWidth="1" min="11" max="11" width="13.13"/>
    <col customWidth="1" min="12" max="16" width="12.88"/>
    <col customWidth="1" min="17" max="26" width="11.0"/>
  </cols>
  <sheetData>
    <row r="1">
      <c r="A1" s="33" t="s">
        <v>209</v>
      </c>
    </row>
    <row r="2"/>
    <row r="3"/>
    <row r="4">
      <c r="A4" s="89" t="s">
        <v>210</v>
      </c>
    </row>
    <row r="5"/>
    <row r="6">
      <c r="A6" s="35"/>
      <c r="B6" s="36" t="s">
        <v>156</v>
      </c>
      <c r="C6" s="36"/>
      <c r="D6" s="90">
        <v>5.0</v>
      </c>
      <c r="F6" s="35"/>
      <c r="G6" s="36" t="s">
        <v>156</v>
      </c>
      <c r="H6" s="37"/>
      <c r="I6" s="90">
        <v>8.0</v>
      </c>
    </row>
    <row r="7">
      <c r="A7" s="38" t="s">
        <v>157</v>
      </c>
      <c r="B7" s="39"/>
      <c r="C7" s="40">
        <v>6.15876436781609</v>
      </c>
      <c r="D7" s="91" t="s">
        <v>158</v>
      </c>
      <c r="F7" s="38" t="s">
        <v>157</v>
      </c>
      <c r="G7" s="39"/>
      <c r="H7" s="40">
        <v>5.31393678160919</v>
      </c>
      <c r="I7" s="41" t="s">
        <v>158</v>
      </c>
      <c r="K7" s="92">
        <v>5.0</v>
      </c>
      <c r="L7" s="93">
        <v>0.0</v>
      </c>
      <c r="M7" s="94">
        <v>0.0</v>
      </c>
    </row>
    <row r="8">
      <c r="A8" s="44" t="s">
        <v>145</v>
      </c>
      <c r="B8" s="45">
        <v>0.0</v>
      </c>
      <c r="C8" s="46">
        <v>0.0</v>
      </c>
      <c r="D8" s="56">
        <v>0.0</v>
      </c>
      <c r="F8" s="44" t="s">
        <v>145</v>
      </c>
      <c r="G8" s="45">
        <v>0.0</v>
      </c>
      <c r="H8" s="46">
        <v>0.0</v>
      </c>
      <c r="I8" s="56">
        <v>0.0</v>
      </c>
      <c r="K8" s="92"/>
      <c r="L8" s="95">
        <v>50.0</v>
      </c>
      <c r="M8" s="96">
        <v>-0.613864942528736</v>
      </c>
    </row>
    <row r="9">
      <c r="A9" s="48"/>
      <c r="B9" s="49">
        <v>50.0</v>
      </c>
      <c r="C9" s="50">
        <v>-0.613864942528736</v>
      </c>
      <c r="D9" s="51"/>
      <c r="F9" s="48"/>
      <c r="G9" s="49">
        <v>50.0</v>
      </c>
      <c r="H9" s="50">
        <v>-0.230244252873563</v>
      </c>
      <c r="I9" s="51"/>
      <c r="K9" s="92"/>
      <c r="L9" s="97">
        <v>100.0</v>
      </c>
      <c r="M9" s="91">
        <v>-2.00826149425287</v>
      </c>
    </row>
    <row r="10">
      <c r="A10" s="52"/>
      <c r="B10" s="53">
        <v>100.0</v>
      </c>
      <c r="C10" s="54">
        <v>-2.00826149425287</v>
      </c>
      <c r="D10" s="51"/>
      <c r="F10" s="52"/>
      <c r="G10" s="53">
        <v>100.0</v>
      </c>
      <c r="H10" s="54">
        <v>-0.857399425287356</v>
      </c>
      <c r="I10" s="51"/>
      <c r="K10" s="92">
        <v>6.0</v>
      </c>
      <c r="L10" s="93">
        <v>0.0</v>
      </c>
      <c r="M10" s="94">
        <v>0.0</v>
      </c>
    </row>
    <row r="11">
      <c r="A11" s="55" t="s">
        <v>146</v>
      </c>
      <c r="B11" s="32" t="s">
        <v>147</v>
      </c>
      <c r="C11" s="50">
        <v>0.0</v>
      </c>
      <c r="D11" s="56" t="s">
        <v>166</v>
      </c>
      <c r="F11" s="55" t="s">
        <v>146</v>
      </c>
      <c r="G11" s="32" t="s">
        <v>147</v>
      </c>
      <c r="H11" s="50">
        <v>0.0</v>
      </c>
      <c r="I11" s="56" t="s">
        <v>147</v>
      </c>
      <c r="K11" s="92"/>
      <c r="L11" s="95">
        <v>50.0</v>
      </c>
      <c r="M11" s="96">
        <v>-0.215158045977012</v>
      </c>
    </row>
    <row r="12">
      <c r="A12" s="48"/>
      <c r="B12" s="32" t="s">
        <v>164</v>
      </c>
      <c r="C12" s="50">
        <v>-0.105603448275862</v>
      </c>
      <c r="D12" s="51"/>
      <c r="F12" s="48"/>
      <c r="G12" s="32" t="s">
        <v>164</v>
      </c>
      <c r="H12" s="50">
        <v>-0.372844827586207</v>
      </c>
      <c r="I12" s="51"/>
      <c r="K12" s="92"/>
      <c r="L12" s="97">
        <v>100.0</v>
      </c>
      <c r="M12" s="91">
        <v>-0.812140804597701</v>
      </c>
    </row>
    <row r="13">
      <c r="A13" s="52"/>
      <c r="B13" s="58" t="s">
        <v>166</v>
      </c>
      <c r="C13" s="54">
        <v>0.258261494252874</v>
      </c>
      <c r="D13" s="59"/>
      <c r="F13" s="52"/>
      <c r="G13" s="58" t="s">
        <v>166</v>
      </c>
      <c r="H13" s="54">
        <v>-0.142600574712644</v>
      </c>
      <c r="I13" s="59"/>
      <c r="K13" s="92">
        <v>7.0</v>
      </c>
      <c r="L13" s="93">
        <v>0.0</v>
      </c>
      <c r="M13" s="94">
        <v>0.0</v>
      </c>
    </row>
    <row r="14">
      <c r="A14" s="44" t="s">
        <v>148</v>
      </c>
      <c r="B14" s="60" t="s">
        <v>149</v>
      </c>
      <c r="C14" s="46">
        <v>0.0</v>
      </c>
      <c r="D14" s="56" t="s">
        <v>140</v>
      </c>
      <c r="F14" s="44" t="s">
        <v>148</v>
      </c>
      <c r="G14" s="60" t="s">
        <v>149</v>
      </c>
      <c r="H14" s="46">
        <v>0.0</v>
      </c>
      <c r="I14" s="56" t="s">
        <v>149</v>
      </c>
      <c r="K14" s="92"/>
      <c r="L14" s="95">
        <v>50.0</v>
      </c>
      <c r="M14" s="96">
        <v>0.374640804597701</v>
      </c>
    </row>
    <row r="15">
      <c r="A15" s="52"/>
      <c r="B15" s="58" t="s">
        <v>140</v>
      </c>
      <c r="C15" s="54">
        <v>0.0603448275862067</v>
      </c>
      <c r="D15" s="59"/>
      <c r="F15" s="52"/>
      <c r="G15" s="58" t="s">
        <v>140</v>
      </c>
      <c r="H15" s="54">
        <v>-0.21551724137931</v>
      </c>
      <c r="I15" s="59"/>
      <c r="K15" s="92"/>
      <c r="L15" s="97">
        <v>100.0</v>
      </c>
      <c r="M15" s="91">
        <v>0.29058908045977</v>
      </c>
    </row>
    <row r="16">
      <c r="A16" s="44" t="s">
        <v>173</v>
      </c>
      <c r="B16" s="62" t="s">
        <v>151</v>
      </c>
      <c r="C16" s="46">
        <v>0.0</v>
      </c>
      <c r="D16" s="56" t="s">
        <v>151</v>
      </c>
      <c r="F16" s="44" t="s">
        <v>173</v>
      </c>
      <c r="G16" s="62" t="s">
        <v>151</v>
      </c>
      <c r="H16" s="46">
        <v>0.0</v>
      </c>
      <c r="I16" s="56" t="s">
        <v>141</v>
      </c>
      <c r="K16" s="92">
        <v>8.0</v>
      </c>
      <c r="L16" s="93">
        <v>0.0</v>
      </c>
      <c r="M16" s="94">
        <v>0.0</v>
      </c>
    </row>
    <row r="17">
      <c r="A17" s="48"/>
      <c r="B17" s="23" t="s">
        <v>141</v>
      </c>
      <c r="C17" s="50">
        <v>-0.633261494252874</v>
      </c>
      <c r="D17" s="51"/>
      <c r="F17" s="48"/>
      <c r="G17" s="23" t="s">
        <v>141</v>
      </c>
      <c r="H17" s="50">
        <v>0.267600574712644</v>
      </c>
      <c r="I17" s="51"/>
      <c r="K17" s="92"/>
      <c r="L17" s="95">
        <v>50.0</v>
      </c>
      <c r="M17" s="96">
        <v>-0.230244252873563</v>
      </c>
    </row>
    <row r="18">
      <c r="A18" s="52"/>
      <c r="B18" s="58" t="s">
        <v>142</v>
      </c>
      <c r="C18" s="54">
        <v>-0.488864942528736</v>
      </c>
      <c r="D18" s="59"/>
      <c r="F18" s="52"/>
      <c r="G18" s="58" t="s">
        <v>142</v>
      </c>
      <c r="H18" s="54">
        <v>0.144755747126436</v>
      </c>
      <c r="I18" s="59"/>
      <c r="K18" s="92"/>
      <c r="L18" s="97">
        <v>100.0</v>
      </c>
      <c r="M18" s="91">
        <v>-0.857399425287356</v>
      </c>
    </row>
    <row r="19">
      <c r="A19" s="44" t="s">
        <v>177</v>
      </c>
      <c r="B19" s="63">
        <v>0.15</v>
      </c>
      <c r="C19" s="46">
        <v>0.0</v>
      </c>
      <c r="D19" s="98">
        <v>0.25</v>
      </c>
      <c r="F19" s="44" t="s">
        <v>177</v>
      </c>
      <c r="G19" s="63">
        <v>0.15</v>
      </c>
      <c r="H19" s="46">
        <v>0.0</v>
      </c>
      <c r="I19" s="98">
        <v>0.15</v>
      </c>
      <c r="K19" s="92">
        <v>9.0</v>
      </c>
      <c r="L19" s="93">
        <v>0.0</v>
      </c>
      <c r="M19" s="94">
        <v>0.0</v>
      </c>
    </row>
    <row r="20">
      <c r="A20" s="48"/>
      <c r="B20" s="65">
        <v>0.2</v>
      </c>
      <c r="C20" s="50">
        <v>-0.605603448275862</v>
      </c>
      <c r="D20" s="51"/>
      <c r="F20" s="48"/>
      <c r="G20" s="65">
        <v>0.2</v>
      </c>
      <c r="H20" s="50">
        <v>-0.372844827586207</v>
      </c>
      <c r="I20" s="51"/>
      <c r="L20" s="95">
        <v>50.0</v>
      </c>
      <c r="M20" s="96">
        <v>-1.47234195402299</v>
      </c>
    </row>
    <row r="21">
      <c r="A21" s="52"/>
      <c r="B21" s="66">
        <v>0.25</v>
      </c>
      <c r="C21" s="54">
        <v>0.00826149425287348</v>
      </c>
      <c r="D21" s="59"/>
      <c r="F21" s="52"/>
      <c r="G21" s="66">
        <v>0.25</v>
      </c>
      <c r="H21" s="54">
        <v>-1.64260057471264</v>
      </c>
      <c r="I21" s="59"/>
      <c r="L21" s="97">
        <v>100.0</v>
      </c>
      <c r="M21" s="91">
        <v>-2.2503591954023</v>
      </c>
    </row>
    <row r="25">
      <c r="A25" s="35"/>
      <c r="B25" s="36" t="s">
        <v>156</v>
      </c>
      <c r="C25" s="37"/>
      <c r="D25" s="90">
        <v>6.0</v>
      </c>
      <c r="F25" s="35"/>
      <c r="G25" s="36" t="s">
        <v>156</v>
      </c>
      <c r="H25" s="37"/>
      <c r="I25" s="90">
        <v>9.0</v>
      </c>
      <c r="K25" s="99" t="s">
        <v>211</v>
      </c>
    </row>
    <row r="26">
      <c r="A26" s="38" t="s">
        <v>157</v>
      </c>
      <c r="B26" s="39"/>
      <c r="C26" s="40">
        <v>6.21048850574713</v>
      </c>
      <c r="D26" s="41" t="s">
        <v>158</v>
      </c>
      <c r="F26" s="38" t="s">
        <v>157</v>
      </c>
      <c r="G26" s="39"/>
      <c r="H26" s="40">
        <v>6.16451149425288</v>
      </c>
      <c r="I26" s="41" t="s">
        <v>158</v>
      </c>
      <c r="K26" s="70" t="s">
        <v>212</v>
      </c>
      <c r="L26" s="70" t="s">
        <v>213</v>
      </c>
      <c r="M26" s="70" t="s">
        <v>214</v>
      </c>
      <c r="N26" s="70" t="s">
        <v>215</v>
      </c>
      <c r="O26" s="70" t="s">
        <v>216</v>
      </c>
      <c r="P26" s="70" t="s">
        <v>217</v>
      </c>
    </row>
    <row r="27">
      <c r="A27" s="44" t="s">
        <v>145</v>
      </c>
      <c r="B27" s="45">
        <v>0.0</v>
      </c>
      <c r="C27" s="46">
        <v>0.0</v>
      </c>
      <c r="D27" s="56">
        <v>0.0</v>
      </c>
      <c r="F27" s="44" t="s">
        <v>145</v>
      </c>
      <c r="G27" s="45">
        <v>0.0</v>
      </c>
      <c r="H27" s="46">
        <v>0.0</v>
      </c>
      <c r="I27" s="56">
        <v>0.0</v>
      </c>
      <c r="K27" s="100">
        <v>0.0</v>
      </c>
      <c r="L27" s="73">
        <v>0.0</v>
      </c>
      <c r="M27" s="73">
        <v>0.0</v>
      </c>
      <c r="N27" s="73">
        <v>0.0</v>
      </c>
      <c r="O27" s="73">
        <v>0.0</v>
      </c>
      <c r="P27" s="73">
        <v>0.0</v>
      </c>
    </row>
    <row r="28">
      <c r="A28" s="55"/>
      <c r="B28" s="49">
        <v>50.0</v>
      </c>
      <c r="C28" s="50">
        <v>-0.215158045977012</v>
      </c>
      <c r="D28" s="51"/>
      <c r="F28" s="55"/>
      <c r="G28" s="49">
        <v>50.0</v>
      </c>
      <c r="H28" s="50">
        <v>-1.47234195402299</v>
      </c>
      <c r="I28" s="51"/>
      <c r="K28" s="100">
        <v>50.0</v>
      </c>
      <c r="L28" s="73">
        <v>-0.6139</v>
      </c>
      <c r="M28" s="73">
        <v>-0.2152</v>
      </c>
      <c r="N28" s="73">
        <v>0.3746</v>
      </c>
      <c r="O28" s="73">
        <v>-0.2302</v>
      </c>
      <c r="P28" s="73">
        <v>-1.4723</v>
      </c>
    </row>
    <row r="29">
      <c r="A29" s="101"/>
      <c r="B29" s="53">
        <v>100.0</v>
      </c>
      <c r="C29" s="54">
        <v>-0.812140804597701</v>
      </c>
      <c r="D29" s="59"/>
      <c r="F29" s="101"/>
      <c r="G29" s="53">
        <v>100.0</v>
      </c>
      <c r="H29" s="54">
        <v>-2.2503591954023</v>
      </c>
      <c r="I29" s="59"/>
      <c r="K29" s="100">
        <v>100.0</v>
      </c>
      <c r="L29" s="73">
        <v>-2.0083</v>
      </c>
      <c r="M29" s="73">
        <v>-0.8121</v>
      </c>
      <c r="N29" s="73">
        <v>0.2906</v>
      </c>
      <c r="O29" s="73">
        <v>-0.8574</v>
      </c>
      <c r="P29" s="73">
        <v>-2.2504</v>
      </c>
    </row>
    <row r="30">
      <c r="A30" s="55" t="s">
        <v>146</v>
      </c>
      <c r="B30" s="32" t="s">
        <v>147</v>
      </c>
      <c r="C30" s="50">
        <v>0.0</v>
      </c>
      <c r="D30" s="56" t="s">
        <v>164</v>
      </c>
      <c r="F30" s="44" t="s">
        <v>146</v>
      </c>
      <c r="G30" s="32" t="s">
        <v>147</v>
      </c>
      <c r="H30" s="50">
        <v>0.0</v>
      </c>
      <c r="I30" s="56" t="s">
        <v>147</v>
      </c>
    </row>
    <row r="31">
      <c r="A31" s="48"/>
      <c r="B31" s="32" t="s">
        <v>164</v>
      </c>
      <c r="C31" s="50">
        <v>0.0969827586206894</v>
      </c>
      <c r="D31" s="51"/>
      <c r="F31" s="48"/>
      <c r="G31" s="32" t="s">
        <v>164</v>
      </c>
      <c r="H31" s="50">
        <v>-0.47198275862069</v>
      </c>
      <c r="I31" s="51"/>
    </row>
    <row r="32">
      <c r="A32" s="52"/>
      <c r="B32" s="58" t="s">
        <v>166</v>
      </c>
      <c r="C32" s="54">
        <v>0.0621408045977011</v>
      </c>
      <c r="D32" s="59"/>
      <c r="F32" s="52"/>
      <c r="G32" s="58" t="s">
        <v>166</v>
      </c>
      <c r="H32" s="54">
        <v>-0.624640804597701</v>
      </c>
      <c r="I32" s="59"/>
    </row>
    <row r="33">
      <c r="A33" s="44" t="s">
        <v>148</v>
      </c>
      <c r="B33" s="60" t="s">
        <v>149</v>
      </c>
      <c r="C33" s="46">
        <v>0.0</v>
      </c>
      <c r="D33" s="56" t="s">
        <v>149</v>
      </c>
      <c r="F33" s="44" t="s">
        <v>148</v>
      </c>
      <c r="G33" s="60" t="s">
        <v>149</v>
      </c>
      <c r="H33" s="46">
        <v>0.0</v>
      </c>
      <c r="I33" s="56" t="s">
        <v>149</v>
      </c>
    </row>
    <row r="34">
      <c r="A34" s="52"/>
      <c r="B34" s="58" t="s">
        <v>140</v>
      </c>
      <c r="C34" s="54">
        <v>-1.19827586206897</v>
      </c>
      <c r="D34" s="59"/>
      <c r="F34" s="52"/>
      <c r="G34" s="58" t="s">
        <v>140</v>
      </c>
      <c r="H34" s="54">
        <v>-0.301724137931035</v>
      </c>
      <c r="I34" s="59"/>
    </row>
    <row r="35">
      <c r="A35" s="44" t="s">
        <v>173</v>
      </c>
      <c r="B35" s="62" t="s">
        <v>151</v>
      </c>
      <c r="C35" s="46">
        <v>0.0</v>
      </c>
      <c r="D35" s="56" t="s">
        <v>141</v>
      </c>
      <c r="F35" s="44" t="s">
        <v>173</v>
      </c>
      <c r="G35" s="62" t="s">
        <v>151</v>
      </c>
      <c r="H35" s="46">
        <v>0.0</v>
      </c>
      <c r="I35" s="56" t="s">
        <v>141</v>
      </c>
    </row>
    <row r="36">
      <c r="A36" s="48"/>
      <c r="B36" s="23" t="s">
        <v>141</v>
      </c>
      <c r="C36" s="50">
        <v>0.187859195402299</v>
      </c>
      <c r="D36" s="51"/>
      <c r="F36" s="48"/>
      <c r="G36" s="23" t="s">
        <v>141</v>
      </c>
      <c r="H36" s="50">
        <v>0.499640804597701</v>
      </c>
      <c r="I36" s="51"/>
    </row>
    <row r="37">
      <c r="A37" s="52"/>
      <c r="B37" s="58" t="s">
        <v>142</v>
      </c>
      <c r="C37" s="54">
        <v>-0.215158045977012</v>
      </c>
      <c r="D37" s="59"/>
      <c r="F37" s="52"/>
      <c r="G37" s="58" t="s">
        <v>142</v>
      </c>
      <c r="H37" s="54">
        <v>-0.222341954022989</v>
      </c>
      <c r="I37" s="59"/>
    </row>
    <row r="38">
      <c r="A38" s="44" t="s">
        <v>177</v>
      </c>
      <c r="B38" s="63">
        <v>0.15</v>
      </c>
      <c r="C38" s="46">
        <v>0.0</v>
      </c>
      <c r="D38" s="98">
        <v>0.25</v>
      </c>
      <c r="F38" s="44" t="s">
        <v>177</v>
      </c>
      <c r="G38" s="63">
        <v>0.15</v>
      </c>
      <c r="H38" s="46">
        <v>0.0</v>
      </c>
      <c r="I38" s="98">
        <v>0.2</v>
      </c>
    </row>
    <row r="39">
      <c r="A39" s="48"/>
      <c r="B39" s="65">
        <v>0.2</v>
      </c>
      <c r="C39" s="50">
        <v>-0.15301724137931</v>
      </c>
      <c r="D39" s="51"/>
      <c r="F39" s="48"/>
      <c r="G39" s="65">
        <v>0.2</v>
      </c>
      <c r="H39" s="50">
        <v>0.27801724137931</v>
      </c>
      <c r="I39" s="51"/>
    </row>
    <row r="40">
      <c r="A40" s="52"/>
      <c r="B40" s="66">
        <v>0.25</v>
      </c>
      <c r="C40" s="54">
        <v>0.187140804597701</v>
      </c>
      <c r="D40" s="59"/>
      <c r="F40" s="52"/>
      <c r="G40" s="66">
        <v>0.25</v>
      </c>
      <c r="H40" s="54">
        <v>3.59195402298501E-4</v>
      </c>
      <c r="I40" s="59"/>
    </row>
    <row r="44">
      <c r="A44" s="35"/>
      <c r="B44" s="36" t="s">
        <v>156</v>
      </c>
      <c r="C44" s="37"/>
      <c r="D44" s="90">
        <v>7.0</v>
      </c>
    </row>
    <row r="45">
      <c r="A45" s="38" t="s">
        <v>157</v>
      </c>
      <c r="B45" s="39"/>
      <c r="C45" s="40">
        <v>6.03520114942529</v>
      </c>
      <c r="D45" s="41" t="s">
        <v>158</v>
      </c>
    </row>
    <row r="46">
      <c r="A46" s="44" t="s">
        <v>145</v>
      </c>
      <c r="B46" s="45">
        <v>0.0</v>
      </c>
      <c r="C46" s="46">
        <v>0.0</v>
      </c>
      <c r="D46" s="56">
        <v>50.0</v>
      </c>
    </row>
    <row r="47">
      <c r="A47" s="48"/>
      <c r="B47" s="49">
        <v>50.0</v>
      </c>
      <c r="C47" s="50">
        <v>0.374640804597701</v>
      </c>
      <c r="D47" s="51"/>
    </row>
    <row r="48">
      <c r="A48" s="52"/>
      <c r="B48" s="53">
        <v>100.0</v>
      </c>
      <c r="C48" s="54">
        <v>0.29058908045977</v>
      </c>
      <c r="D48" s="51"/>
    </row>
    <row r="49">
      <c r="A49" s="55" t="s">
        <v>146</v>
      </c>
      <c r="B49" s="32" t="s">
        <v>147</v>
      </c>
      <c r="C49" s="50">
        <v>0.0</v>
      </c>
      <c r="D49" s="56" t="s">
        <v>147</v>
      </c>
    </row>
    <row r="50">
      <c r="A50" s="48"/>
      <c r="B50" s="32" t="s">
        <v>164</v>
      </c>
      <c r="C50" s="50">
        <v>-0.165948275862069</v>
      </c>
      <c r="D50" s="51"/>
    </row>
    <row r="51">
      <c r="A51" s="52"/>
      <c r="B51" s="58" t="s">
        <v>166</v>
      </c>
      <c r="C51" s="54">
        <v>-1.16558908045977</v>
      </c>
      <c r="D51" s="59"/>
    </row>
    <row r="52">
      <c r="A52" s="44" t="s">
        <v>148</v>
      </c>
      <c r="B52" s="60" t="s">
        <v>149</v>
      </c>
      <c r="C52" s="46">
        <v>0.0</v>
      </c>
      <c r="D52" s="56" t="s">
        <v>149</v>
      </c>
    </row>
    <row r="53">
      <c r="A53" s="52"/>
      <c r="B53" s="58" t="s">
        <v>140</v>
      </c>
      <c r="C53" s="54">
        <v>-0.905172413793104</v>
      </c>
      <c r="D53" s="59"/>
    </row>
    <row r="54">
      <c r="A54" s="44" t="s">
        <v>173</v>
      </c>
      <c r="B54" s="62" t="s">
        <v>151</v>
      </c>
      <c r="C54" s="46">
        <v>0.0</v>
      </c>
      <c r="D54" s="56" t="s">
        <v>142</v>
      </c>
    </row>
    <row r="55">
      <c r="A55" s="48"/>
      <c r="B55" s="23" t="s">
        <v>141</v>
      </c>
      <c r="C55" s="50">
        <v>-0.0844109195402293</v>
      </c>
      <c r="D55" s="51"/>
    </row>
    <row r="56">
      <c r="A56" s="52"/>
      <c r="B56" s="58" t="s">
        <v>142</v>
      </c>
      <c r="C56" s="54">
        <v>1.2496408045977</v>
      </c>
      <c r="D56" s="59"/>
    </row>
    <row r="57">
      <c r="A57" s="44" t="s">
        <v>177</v>
      </c>
      <c r="B57" s="63">
        <v>0.15</v>
      </c>
      <c r="C57" s="46">
        <v>0.0</v>
      </c>
      <c r="D57" s="98">
        <v>0.15</v>
      </c>
    </row>
    <row r="58">
      <c r="A58" s="48"/>
      <c r="B58" s="65">
        <v>0.2</v>
      </c>
      <c r="C58" s="50">
        <v>-0.665948275862069</v>
      </c>
      <c r="D58" s="51"/>
    </row>
    <row r="59">
      <c r="A59" s="52"/>
      <c r="B59" s="66">
        <v>0.25</v>
      </c>
      <c r="C59" s="54">
        <v>-0.91558908045977</v>
      </c>
      <c r="D59" s="59"/>
    </row>
    <row r="60">
      <c r="K60" s="69" t="s">
        <v>187</v>
      </c>
    </row>
    <row r="61">
      <c r="K61" s="2" t="s">
        <v>223</v>
      </c>
    </row>
    <row r="63">
      <c r="K63" s="73" t="s">
        <v>224</v>
      </c>
    </row>
    <row r="64">
      <c r="K64" s="73" t="s">
        <v>225</v>
      </c>
    </row>
    <row r="65">
      <c r="K65" s="73" t="s">
        <v>226</v>
      </c>
    </row>
  </sheetData>
  <mergeCells count="48">
    <mergeCell ref="A54:A56"/>
    <mergeCell ref="A57:A59"/>
    <mergeCell ref="A46:A48"/>
    <mergeCell ref="D46:D48"/>
    <mergeCell ref="A49:A51"/>
    <mergeCell ref="D49:D51"/>
    <mergeCell ref="A52:A53"/>
    <mergeCell ref="D52:D53"/>
    <mergeCell ref="D54:D56"/>
    <mergeCell ref="D57:D59"/>
    <mergeCell ref="A8:A10"/>
    <mergeCell ref="D8:D10"/>
    <mergeCell ref="F8:F10"/>
    <mergeCell ref="I8:I10"/>
    <mergeCell ref="D11:D13"/>
    <mergeCell ref="F11:F13"/>
    <mergeCell ref="I11:I13"/>
    <mergeCell ref="I14:I15"/>
    <mergeCell ref="I16:I18"/>
    <mergeCell ref="I19:I21"/>
    <mergeCell ref="I27:I29"/>
    <mergeCell ref="I30:I32"/>
    <mergeCell ref="I33:I34"/>
    <mergeCell ref="I35:I37"/>
    <mergeCell ref="I38:I40"/>
    <mergeCell ref="A11:A13"/>
    <mergeCell ref="A14:A15"/>
    <mergeCell ref="D14:D15"/>
    <mergeCell ref="F14:F15"/>
    <mergeCell ref="A16:A18"/>
    <mergeCell ref="F16:F18"/>
    <mergeCell ref="A19:A21"/>
    <mergeCell ref="F19:F21"/>
    <mergeCell ref="F30:F32"/>
    <mergeCell ref="F33:F34"/>
    <mergeCell ref="F35:F37"/>
    <mergeCell ref="F38:F40"/>
    <mergeCell ref="D33:D34"/>
    <mergeCell ref="D35:D37"/>
    <mergeCell ref="D30:D32"/>
    <mergeCell ref="D38:D40"/>
    <mergeCell ref="D16:D18"/>
    <mergeCell ref="D19:D21"/>
    <mergeCell ref="D27:D29"/>
    <mergeCell ref="A30:A32"/>
    <mergeCell ref="A33:A34"/>
    <mergeCell ref="A35:A37"/>
    <mergeCell ref="A38:A40"/>
  </mergeCells>
  <printOptions/>
  <pageMargins bottom="0.75" footer="0.0" header="0.0" left="0.7" right="0.7" top="0.75"/>
  <pageSetup paperSize="9" orientation="portrait"/>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0.88"/>
    <col customWidth="1" min="3" max="26" width="11.0"/>
  </cols>
  <sheetData>
    <row r="1" ht="147.0" customHeight="1">
      <c r="A1" s="103" t="s">
        <v>227</v>
      </c>
    </row>
    <row r="2"/>
    <row r="3"/>
    <row r="4">
      <c r="A4" s="2" t="s">
        <v>132</v>
      </c>
      <c r="B4" s="22">
        <v>50.0</v>
      </c>
      <c r="C4" s="22">
        <v>100.0</v>
      </c>
      <c r="D4" s="23" t="s">
        <v>138</v>
      </c>
      <c r="E4" s="23" t="s">
        <v>139</v>
      </c>
      <c r="F4" s="22" t="s">
        <v>140</v>
      </c>
      <c r="G4" s="2" t="s">
        <v>141</v>
      </c>
      <c r="H4" s="2" t="s">
        <v>142</v>
      </c>
      <c r="I4" s="24">
        <v>0.2</v>
      </c>
      <c r="J4" s="24">
        <v>0.25</v>
      </c>
    </row>
    <row r="5">
      <c r="A5" s="2">
        <v>1.0</v>
      </c>
      <c r="B5" s="2">
        <v>0.0</v>
      </c>
      <c r="C5" s="2">
        <v>1.0</v>
      </c>
      <c r="D5" s="2">
        <v>0.0</v>
      </c>
      <c r="E5" s="2">
        <v>0.0</v>
      </c>
      <c r="F5" s="2">
        <v>1.0</v>
      </c>
      <c r="G5" s="2">
        <v>1.0</v>
      </c>
      <c r="H5" s="2">
        <v>0.0</v>
      </c>
      <c r="I5" s="2">
        <v>0.0</v>
      </c>
      <c r="J5" s="2">
        <v>1.0</v>
      </c>
    </row>
    <row r="6">
      <c r="A6" s="2">
        <v>2.0</v>
      </c>
      <c r="B6" s="2">
        <v>0.0</v>
      </c>
      <c r="C6" s="2">
        <v>0.0</v>
      </c>
      <c r="D6" s="2">
        <v>1.0</v>
      </c>
      <c r="E6" s="2">
        <v>0.0</v>
      </c>
      <c r="F6" s="2">
        <v>0.0</v>
      </c>
      <c r="G6" s="2">
        <v>0.0</v>
      </c>
      <c r="H6" s="2">
        <v>0.0</v>
      </c>
      <c r="I6" s="2">
        <v>1.0</v>
      </c>
      <c r="J6" s="2">
        <v>0.0</v>
      </c>
    </row>
    <row r="7">
      <c r="A7" s="2">
        <v>3.0</v>
      </c>
      <c r="B7" s="2">
        <v>0.0</v>
      </c>
      <c r="C7" s="2">
        <v>0.0</v>
      </c>
      <c r="D7" s="2">
        <v>0.0</v>
      </c>
      <c r="E7" s="2">
        <v>0.0</v>
      </c>
      <c r="F7" s="2">
        <v>0.0</v>
      </c>
      <c r="G7" s="2">
        <v>0.0</v>
      </c>
      <c r="H7" s="2">
        <v>1.0</v>
      </c>
      <c r="I7" s="2">
        <v>0.0</v>
      </c>
      <c r="J7" s="2">
        <v>1.0</v>
      </c>
    </row>
    <row r="8">
      <c r="A8" s="2">
        <v>4.0</v>
      </c>
      <c r="B8" s="2">
        <v>1.0</v>
      </c>
      <c r="C8" s="2">
        <v>0.0</v>
      </c>
      <c r="D8" s="2">
        <v>1.0</v>
      </c>
      <c r="E8" s="2">
        <v>0.0</v>
      </c>
      <c r="F8" s="2">
        <v>1.0</v>
      </c>
      <c r="G8" s="2">
        <v>0.0</v>
      </c>
      <c r="H8" s="2">
        <v>1.0</v>
      </c>
      <c r="I8" s="2">
        <v>0.0</v>
      </c>
      <c r="J8" s="2">
        <v>1.0</v>
      </c>
    </row>
    <row r="9">
      <c r="A9" s="2">
        <v>5.0</v>
      </c>
      <c r="B9" s="2">
        <v>0.0</v>
      </c>
      <c r="C9" s="2">
        <v>0.0</v>
      </c>
      <c r="D9" s="2">
        <v>0.0</v>
      </c>
      <c r="E9" s="2">
        <v>0.0</v>
      </c>
      <c r="F9" s="2">
        <v>1.0</v>
      </c>
      <c r="G9" s="2">
        <v>0.0</v>
      </c>
      <c r="H9" s="2">
        <v>0.0</v>
      </c>
      <c r="I9" s="2">
        <v>1.0</v>
      </c>
      <c r="J9" s="2">
        <v>0.0</v>
      </c>
    </row>
    <row r="10">
      <c r="A10" s="2">
        <v>6.0</v>
      </c>
      <c r="B10" s="2">
        <v>0.0</v>
      </c>
      <c r="C10" s="2">
        <v>1.0</v>
      </c>
      <c r="D10" s="2">
        <v>0.0</v>
      </c>
      <c r="E10" s="2">
        <v>1.0</v>
      </c>
      <c r="F10" s="2">
        <v>1.0</v>
      </c>
      <c r="G10" s="2">
        <v>0.0</v>
      </c>
      <c r="H10" s="2">
        <v>1.0</v>
      </c>
      <c r="I10" s="2">
        <v>1.0</v>
      </c>
      <c r="J10" s="2">
        <v>0.0</v>
      </c>
    </row>
    <row r="11">
      <c r="A11" s="2">
        <v>7.0</v>
      </c>
      <c r="B11" s="2">
        <v>0.0</v>
      </c>
      <c r="C11" s="2">
        <v>1.0</v>
      </c>
      <c r="D11" s="2">
        <v>0.0</v>
      </c>
      <c r="E11" s="2">
        <v>0.0</v>
      </c>
      <c r="F11" s="2">
        <v>0.0</v>
      </c>
      <c r="G11" s="2">
        <v>1.0</v>
      </c>
      <c r="H11" s="2">
        <v>0.0</v>
      </c>
      <c r="I11" s="2">
        <v>0.0</v>
      </c>
      <c r="J11" s="2">
        <v>0.0</v>
      </c>
    </row>
    <row r="12">
      <c r="A12" s="2">
        <v>8.0</v>
      </c>
      <c r="B12" s="2">
        <v>0.0</v>
      </c>
      <c r="C12" s="2">
        <v>1.0</v>
      </c>
      <c r="D12" s="2">
        <v>0.0</v>
      </c>
      <c r="E12" s="2">
        <v>1.0</v>
      </c>
      <c r="F12" s="2">
        <v>1.0</v>
      </c>
      <c r="G12" s="2">
        <v>0.0</v>
      </c>
      <c r="H12" s="2">
        <v>0.0</v>
      </c>
      <c r="I12" s="2">
        <v>0.0</v>
      </c>
      <c r="J12" s="2">
        <v>0.0</v>
      </c>
    </row>
    <row r="13">
      <c r="A13" s="2">
        <v>9.0</v>
      </c>
      <c r="B13" s="2">
        <v>0.0</v>
      </c>
      <c r="C13" s="2">
        <v>1.0</v>
      </c>
      <c r="D13" s="2">
        <v>1.0</v>
      </c>
      <c r="E13" s="2">
        <v>0.0</v>
      </c>
      <c r="F13" s="2">
        <v>0.0</v>
      </c>
      <c r="G13" s="2">
        <v>0.0</v>
      </c>
      <c r="H13" s="2">
        <v>0.0</v>
      </c>
      <c r="I13" s="2">
        <v>0.0</v>
      </c>
      <c r="J13" s="2">
        <v>1.0</v>
      </c>
    </row>
    <row r="14">
      <c r="A14" s="2">
        <v>10.0</v>
      </c>
      <c r="B14" s="2">
        <v>1.0</v>
      </c>
      <c r="C14" s="2">
        <v>0.0</v>
      </c>
      <c r="D14" s="2">
        <v>0.0</v>
      </c>
      <c r="E14" s="2">
        <v>0.0</v>
      </c>
      <c r="F14" s="2">
        <v>1.0</v>
      </c>
      <c r="G14" s="2">
        <v>0.0</v>
      </c>
      <c r="H14" s="2">
        <v>0.0</v>
      </c>
      <c r="I14" s="2">
        <v>0.0</v>
      </c>
      <c r="J14" s="2">
        <v>0.0</v>
      </c>
    </row>
    <row r="15">
      <c r="A15" s="2">
        <v>11.0</v>
      </c>
      <c r="B15" s="2">
        <v>0.0</v>
      </c>
      <c r="C15" s="2">
        <v>0.0</v>
      </c>
      <c r="D15" s="2">
        <v>0.0</v>
      </c>
      <c r="E15" s="2">
        <v>1.0</v>
      </c>
      <c r="F15" s="2">
        <v>0.0</v>
      </c>
      <c r="G15" s="2">
        <v>0.0</v>
      </c>
      <c r="H15" s="2">
        <v>1.0</v>
      </c>
      <c r="I15" s="2">
        <v>0.0</v>
      </c>
      <c r="J15" s="2">
        <v>0.0</v>
      </c>
    </row>
    <row r="16">
      <c r="A16" s="2">
        <v>12.0</v>
      </c>
      <c r="B16" s="2">
        <v>1.0</v>
      </c>
      <c r="C16" s="2">
        <v>0.0</v>
      </c>
      <c r="D16" s="2">
        <v>0.0</v>
      </c>
      <c r="E16" s="2">
        <v>1.0</v>
      </c>
      <c r="F16" s="2">
        <v>0.0</v>
      </c>
      <c r="G16" s="2">
        <v>1.0</v>
      </c>
      <c r="H16" s="2">
        <v>0.0</v>
      </c>
      <c r="I16" s="2">
        <v>1.0</v>
      </c>
      <c r="J16" s="2">
        <v>0.0</v>
      </c>
    </row>
    <row r="17">
      <c r="A17" s="2">
        <v>13.0</v>
      </c>
      <c r="B17" s="2">
        <v>1.0</v>
      </c>
      <c r="C17" s="2">
        <v>0.0</v>
      </c>
      <c r="D17" s="2">
        <v>0.0</v>
      </c>
      <c r="E17" s="2">
        <v>1.0</v>
      </c>
      <c r="F17" s="2">
        <v>0.0</v>
      </c>
      <c r="G17" s="2">
        <v>0.0</v>
      </c>
      <c r="H17" s="2">
        <v>0.0</v>
      </c>
      <c r="I17" s="2">
        <v>0.0</v>
      </c>
      <c r="J17" s="2">
        <v>1.0</v>
      </c>
    </row>
    <row r="18">
      <c r="A18" s="2">
        <v>14.0</v>
      </c>
      <c r="B18" s="2">
        <v>0.0</v>
      </c>
      <c r="C18" s="2">
        <v>0.0</v>
      </c>
      <c r="D18" s="2">
        <v>1.0</v>
      </c>
      <c r="E18" s="2">
        <v>0.0</v>
      </c>
      <c r="F18" s="2">
        <v>1.0</v>
      </c>
      <c r="G18" s="2">
        <v>1.0</v>
      </c>
      <c r="H18" s="2">
        <v>0.0</v>
      </c>
      <c r="I18" s="2">
        <v>0.0</v>
      </c>
      <c r="J18" s="2">
        <v>0.0</v>
      </c>
    </row>
    <row r="19">
      <c r="A19" s="2">
        <v>15.0</v>
      </c>
      <c r="B19" s="2">
        <v>0.0</v>
      </c>
      <c r="C19" s="2">
        <v>0.0</v>
      </c>
      <c r="D19" s="2">
        <v>0.0</v>
      </c>
      <c r="E19" s="2">
        <v>1.0</v>
      </c>
      <c r="F19" s="2">
        <v>1.0</v>
      </c>
      <c r="G19" s="2">
        <v>1.0</v>
      </c>
      <c r="H19" s="2">
        <v>0.0</v>
      </c>
      <c r="I19" s="2">
        <v>0.0</v>
      </c>
      <c r="J19" s="2">
        <v>1.0</v>
      </c>
    </row>
    <row r="20"/>
    <row r="21">
      <c r="A21" s="2" t="s">
        <v>228</v>
      </c>
      <c r="B21" s="22">
        <v>50.0</v>
      </c>
      <c r="C21" s="22">
        <v>100.0</v>
      </c>
      <c r="D21" s="23" t="s">
        <v>138</v>
      </c>
      <c r="E21" s="23" t="s">
        <v>139</v>
      </c>
      <c r="F21" s="22" t="s">
        <v>140</v>
      </c>
      <c r="G21" s="2" t="s">
        <v>141</v>
      </c>
      <c r="H21" s="104" t="s">
        <v>142</v>
      </c>
      <c r="I21" s="24">
        <v>0.2</v>
      </c>
      <c r="J21" s="24">
        <v>0.25</v>
      </c>
    </row>
    <row r="22">
      <c r="A22" s="2">
        <v>16.0</v>
      </c>
      <c r="B22" s="25">
        <v>0.0</v>
      </c>
      <c r="C22" s="25">
        <v>0.0</v>
      </c>
      <c r="D22" s="25">
        <v>0.0</v>
      </c>
      <c r="E22" s="25">
        <v>0.0</v>
      </c>
      <c r="F22" s="25">
        <v>0.0</v>
      </c>
      <c r="G22" s="2">
        <v>0.0</v>
      </c>
      <c r="H22" s="2">
        <v>0.0</v>
      </c>
      <c r="I22" s="2">
        <v>0.0</v>
      </c>
      <c r="J22" s="2">
        <v>0.0</v>
      </c>
    </row>
    <row r="23">
      <c r="A23" s="2">
        <v>17.0</v>
      </c>
      <c r="B23" s="25">
        <v>0.0</v>
      </c>
      <c r="C23" s="25">
        <v>1.0</v>
      </c>
      <c r="D23" s="25">
        <v>0.0</v>
      </c>
      <c r="E23" s="25">
        <v>1.0</v>
      </c>
      <c r="F23" s="25">
        <v>0.0</v>
      </c>
      <c r="G23" s="2">
        <v>1.0</v>
      </c>
      <c r="H23" s="2">
        <v>0.0</v>
      </c>
      <c r="I23" s="2">
        <v>1.0</v>
      </c>
      <c r="J23" s="2">
        <v>0.0</v>
      </c>
    </row>
  </sheetData>
  <mergeCells count="1">
    <mergeCell ref="A1:G1"/>
  </mergeCells>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75"/>
    <col customWidth="1" min="2" max="2" width="15.63"/>
    <col customWidth="1" min="3" max="3" width="16.13"/>
    <col customWidth="1" min="4" max="4" width="14.75"/>
    <col customWidth="1" min="5" max="26" width="9.13"/>
  </cols>
  <sheetData>
    <row r="1">
      <c r="A1" s="25" t="s">
        <v>229</v>
      </c>
      <c r="B1" s="25" t="s">
        <v>230</v>
      </c>
      <c r="C1" s="25" t="s">
        <v>231</v>
      </c>
      <c r="D1" s="25" t="s">
        <v>232</v>
      </c>
    </row>
    <row r="2">
      <c r="A2" s="25">
        <v>1.0</v>
      </c>
      <c r="B2" s="3">
        <v>5.87</v>
      </c>
      <c r="C2" s="25">
        <f>5.87-2.0431+0.293103-0.1681+0.112069</f>
        <v>4.063972</v>
      </c>
      <c r="D2" s="25" t="str">
        <f t="shared" ref="D2:D11" si="1">IF(B2&gt;C2,"X","Y")</f>
        <v>X</v>
      </c>
    </row>
    <row r="3">
      <c r="A3" s="25">
        <v>2.0</v>
      </c>
      <c r="B3" s="25">
        <v>4.44</v>
      </c>
      <c r="C3" s="25">
        <f>4.44+0.219828-0.96983-0.90517-0.39655</f>
        <v>2.388278</v>
      </c>
      <c r="D3" s="25" t="str">
        <f t="shared" si="1"/>
        <v>X</v>
      </c>
    </row>
    <row r="4">
      <c r="A4" s="25">
        <v>3.0</v>
      </c>
      <c r="B4" s="25">
        <v>5.29</v>
      </c>
      <c r="C4" s="25">
        <f>5.29+0.568966-0.69397-0.30603+0.12069</f>
        <v>4.979656</v>
      </c>
      <c r="D4" s="25" t="str">
        <f t="shared" si="1"/>
        <v>X</v>
      </c>
    </row>
    <row r="5">
      <c r="A5" s="25">
        <v>4.0</v>
      </c>
      <c r="B5" s="25">
        <v>6.54</v>
      </c>
      <c r="C5" s="25">
        <f>6.54-2.24353-1.13147+0.256466-0.75431</f>
        <v>2.667156</v>
      </c>
      <c r="D5" s="25" t="str">
        <f t="shared" si="1"/>
        <v>X</v>
      </c>
    </row>
    <row r="6">
      <c r="A6" s="25">
        <v>5.0</v>
      </c>
      <c r="B6" s="25">
        <v>6.16</v>
      </c>
      <c r="C6" s="25">
        <f>6.16-2.00826+0.258261-0.63326-0.6056</f>
        <v>3.171141</v>
      </c>
      <c r="D6" s="25" t="str">
        <f t="shared" si="1"/>
        <v>X</v>
      </c>
    </row>
    <row r="7">
      <c r="A7" s="25">
        <v>6.0</v>
      </c>
      <c r="B7" s="25">
        <v>6.21</v>
      </c>
      <c r="C7" s="25">
        <f>6.21-0.81214+0.062141+0.187859-0.15302</f>
        <v>5.49484</v>
      </c>
      <c r="D7" s="25" t="str">
        <f t="shared" si="1"/>
        <v>X</v>
      </c>
    </row>
    <row r="8">
      <c r="A8" s="25">
        <v>7.0</v>
      </c>
      <c r="B8" s="3">
        <f>6.04+0+0+0+0+0</f>
        <v>6.04</v>
      </c>
      <c r="C8" s="25">
        <f>6.04+0.2906-0.1659-0.0844-0.6659</f>
        <v>5.4144</v>
      </c>
      <c r="D8" s="25" t="str">
        <f t="shared" si="1"/>
        <v>X</v>
      </c>
    </row>
    <row r="9">
      <c r="A9" s="25">
        <v>8.0</v>
      </c>
      <c r="B9" s="25">
        <v>5.31</v>
      </c>
      <c r="C9" s="25">
        <f>5.31-0.8574-0.1426+0.267601-0.37284</f>
        <v>4.204761</v>
      </c>
      <c r="D9" s="25" t="str">
        <f t="shared" si="1"/>
        <v>X</v>
      </c>
    </row>
    <row r="10">
      <c r="A10" s="25">
        <v>9.0</v>
      </c>
      <c r="B10" s="25">
        <v>6.16</v>
      </c>
      <c r="C10" s="25">
        <f>6.16-2.25036-0.62464+0.499641+0.278017</f>
        <v>4.062658</v>
      </c>
      <c r="D10" s="25" t="str">
        <f t="shared" si="1"/>
        <v>X</v>
      </c>
    </row>
    <row r="11">
      <c r="A11" s="25">
        <v>10.0</v>
      </c>
      <c r="B11" s="25">
        <v>6.19</v>
      </c>
      <c r="C11" s="25">
        <f>6.19-3.22557-1.02443-1.10057+0.844828</f>
        <v>1.684258</v>
      </c>
      <c r="D11" s="25" t="str">
        <f t="shared" si="1"/>
        <v>X</v>
      </c>
    </row>
    <row r="12">
      <c r="A12" s="8" t="s">
        <v>233</v>
      </c>
      <c r="B12" s="25">
        <f>COUNTIF($D$2:$D$11,"X")/10</f>
        <v>1</v>
      </c>
      <c r="C12" s="25">
        <f>COUNTIF($D$2:$D$11,"Y")/10</f>
        <v>0</v>
      </c>
    </row>
    <row r="13"/>
    <row r="14"/>
    <row r="15"/>
    <row r="16"/>
    <row r="17"/>
    <row r="18"/>
    <row r="19"/>
    <row r="20"/>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9.13"/>
    <col customWidth="1" min="3" max="3" width="9.63"/>
    <col customWidth="1" min="4" max="4" width="10.63"/>
    <col customWidth="1" min="5" max="26" width="9.13"/>
  </cols>
  <sheetData>
    <row r="1">
      <c r="A1" s="25" t="s">
        <v>229</v>
      </c>
      <c r="B1" s="25" t="s">
        <v>230</v>
      </c>
      <c r="C1" s="25" t="s">
        <v>231</v>
      </c>
      <c r="D1" s="8" t="s">
        <v>234</v>
      </c>
      <c r="E1" s="25" t="s">
        <v>232</v>
      </c>
    </row>
    <row r="2">
      <c r="A2" s="25">
        <v>1.0</v>
      </c>
      <c r="B2" s="3">
        <v>5.87</v>
      </c>
      <c r="C2" s="25">
        <f>5.87-2.0431+0.293103-0.1681+0.112069</f>
        <v>4.063972</v>
      </c>
      <c r="D2" s="25">
        <f>5.87-1.68103-2.13793+0.943966</f>
        <v>2.995006</v>
      </c>
      <c r="E2" s="25" t="str">
        <f t="array" ref="E2">INDEX({"X","Y","Z"},MATCH(MAX(B2:D2),B2:D2,0))</f>
        <v>X</v>
      </c>
    </row>
    <row r="3">
      <c r="A3" s="25">
        <v>2.0</v>
      </c>
      <c r="B3" s="25">
        <v>4.44</v>
      </c>
      <c r="C3" s="25">
        <f>4.44+0.219828-0.96983-0.90517-0.39655</f>
        <v>2.388278</v>
      </c>
      <c r="D3" s="25">
        <f>4.44+0.073276-0.64655+0.698276</f>
        <v>4.565002</v>
      </c>
      <c r="E3" s="25" t="str">
        <f t="array" ref="E3">INDEX({"X","Y","Z"},MATCH(MAX(B3:D3),B3:D3,0))</f>
        <v>Z</v>
      </c>
    </row>
    <row r="4">
      <c r="A4" s="25">
        <v>3.0</v>
      </c>
      <c r="B4" s="25">
        <v>5.29</v>
      </c>
      <c r="C4" s="25">
        <f>5.29+0.568966-0.69397-0.30603+0.12069</f>
        <v>4.979656</v>
      </c>
      <c r="D4" s="25">
        <f>5.29+0.189655-1.12931-0.43534</f>
        <v>3.915005</v>
      </c>
      <c r="E4" s="25" t="str">
        <f t="array" ref="E4">INDEX({"X","Y","Z"},MATCH(MAX(B4:D4),B4:D4,0))</f>
        <v>X</v>
      </c>
    </row>
    <row r="5">
      <c r="A5" s="25">
        <v>4.0</v>
      </c>
      <c r="B5" s="25">
        <v>6.54</v>
      </c>
      <c r="C5" s="25">
        <f>6.54-2.24353-1.13147+0.256466-0.75431</f>
        <v>2.667156</v>
      </c>
      <c r="D5" s="25">
        <f>6.54-1.174784-0.75431-0.24784</f>
        <v>4.363066</v>
      </c>
      <c r="E5" s="25" t="str">
        <f t="array" ref="E5">INDEX({"X","Y","Z"},MATCH(MAX(B5:D5),B5:D5,0))</f>
        <v>X</v>
      </c>
    </row>
    <row r="6">
      <c r="A6" s="25">
        <v>5.0</v>
      </c>
      <c r="B6" s="25">
        <v>6.16</v>
      </c>
      <c r="C6" s="25">
        <f>6.16-2.00826+0.258261-0.63326-0.6056</f>
        <v>3.171141</v>
      </c>
      <c r="D6" s="25">
        <f>6.16-0.61386-0.1056-0.48886</f>
        <v>4.95168</v>
      </c>
      <c r="E6" s="25" t="str">
        <f t="array" ref="E6">INDEX({"X","Y","Z"},MATCH(MAX(B6:D6),B6:D6,0))</f>
        <v>X</v>
      </c>
    </row>
    <row r="7">
      <c r="A7" s="25">
        <v>6.0</v>
      </c>
      <c r="B7" s="25">
        <v>6.21</v>
      </c>
      <c r="C7" s="25">
        <f>6.21-0.81214+0.062141+0.187859-0.15302</f>
        <v>5.49484</v>
      </c>
      <c r="D7" s="25">
        <f>6.21-0.21516+0.096983-0.21516</f>
        <v>5.876663</v>
      </c>
      <c r="E7" s="25" t="str">
        <f t="array" ref="E7">INDEX({"X","Y","Z"},MATCH(MAX(B7:D7),B7:D7,0))</f>
        <v>X</v>
      </c>
    </row>
    <row r="8">
      <c r="A8" s="25">
        <v>7.0</v>
      </c>
      <c r="B8" s="3">
        <f>6.04+0+0+0+0+0</f>
        <v>6.04</v>
      </c>
      <c r="C8" s="25">
        <f>6.04+0.2906-0.1659-0.0844-0.6659</f>
        <v>5.4144</v>
      </c>
      <c r="D8" s="25">
        <f>6.04+0.374641-0.16595+1.249641</f>
        <v>7.498332</v>
      </c>
      <c r="E8" s="25" t="str">
        <f t="array" ref="E8">INDEX({"X","Y","Z"},MATCH(MAX(B8:D8),B8:D8,0))</f>
        <v>Z</v>
      </c>
    </row>
    <row r="9">
      <c r="A9" s="25">
        <v>8.0</v>
      </c>
      <c r="B9" s="25">
        <v>5.31</v>
      </c>
      <c r="C9" s="25">
        <f>5.31-0.8574-0.1426+0.267601-0.37284</f>
        <v>4.204761</v>
      </c>
      <c r="D9" s="25">
        <f>5.31-0.23024-0.37284+0.144756</f>
        <v>4.851676</v>
      </c>
      <c r="E9" s="25" t="str">
        <f t="array" ref="E9">INDEX({"X","Y","Z"},MATCH(MAX(B9:D9),B9:D9,0))</f>
        <v>X</v>
      </c>
    </row>
    <row r="10">
      <c r="A10" s="25">
        <v>9.0</v>
      </c>
      <c r="B10" s="25">
        <v>6.16</v>
      </c>
      <c r="C10" s="25">
        <f>6.16-2.25036-0.62464+0.499641+0.278017</f>
        <v>4.062658</v>
      </c>
      <c r="D10" s="25">
        <f>6.16-1.47234-0.47198-0.22234</f>
        <v>3.99334</v>
      </c>
      <c r="E10" s="25" t="str">
        <f t="array" ref="E10">INDEX({"X","Y","Z"},MATCH(MAX(B10:D10),B10:D10,0))</f>
        <v>X</v>
      </c>
    </row>
    <row r="11">
      <c r="A11" s="25">
        <v>10.0</v>
      </c>
      <c r="B11" s="25">
        <v>6.19</v>
      </c>
      <c r="C11" s="25">
        <f>6.19-3.22557-1.02443-1.10057+0.844828</f>
        <v>1.684258</v>
      </c>
      <c r="D11" s="25">
        <f>6.19-2.63075-0.90517-1.25575</f>
        <v>1.39833</v>
      </c>
      <c r="E11" s="25" t="str">
        <f t="array" ref="E11">INDEX({"X","Y","Z"},MATCH(MAX(B11:D11),B11:D11,0))</f>
        <v>X</v>
      </c>
    </row>
    <row r="12">
      <c r="A12" s="8" t="s">
        <v>233</v>
      </c>
      <c r="B12" s="73">
        <f>COUNTIF($E$2:$E$11,"X")/10</f>
        <v>0.8</v>
      </c>
      <c r="C12" s="25">
        <f>COUNTIF($E$2:$E$11,"Y")/10</f>
        <v>0</v>
      </c>
      <c r="D12" s="73">
        <f>COUNTIF($E$2:$E$11,"Z")/10</f>
        <v>0.2</v>
      </c>
    </row>
    <row r="13"/>
    <row r="14">
      <c r="A14" s="25" t="s">
        <v>229</v>
      </c>
      <c r="B14" s="25" t="s">
        <v>230</v>
      </c>
      <c r="C14" s="25" t="s">
        <v>231</v>
      </c>
      <c r="D14" s="8" t="s">
        <v>235</v>
      </c>
      <c r="E14" s="25" t="s">
        <v>232</v>
      </c>
    </row>
    <row r="15">
      <c r="A15" s="25">
        <v>1.0</v>
      </c>
      <c r="B15" s="3">
        <v>5.87</v>
      </c>
      <c r="C15" s="25">
        <f>5.87-2.0431+0.293103-0.1681+0.112069</f>
        <v>4.063972</v>
      </c>
      <c r="D15" s="25">
        <f>5.87-2.0431+0.943966</f>
        <v>4.770866</v>
      </c>
      <c r="E15" s="25" t="str">
        <f t="array" ref="E15">INDEX({"X","Y","Z"},MATCH(MAX(B15:D15),B15:D15,0))</f>
        <v>X</v>
      </c>
    </row>
    <row r="16">
      <c r="A16" s="25">
        <v>2.0</v>
      </c>
      <c r="B16" s="25">
        <v>4.44</v>
      </c>
      <c r="C16" s="25">
        <f>4.44+0.219828-0.96983-0.90517-0.39655</f>
        <v>2.388278</v>
      </c>
      <c r="D16" s="25">
        <f>4.44+0.219828+0.698276</f>
        <v>5.358104</v>
      </c>
      <c r="E16" s="25" t="str">
        <f t="array" ref="E16">INDEX({"X","Y","Z"},MATCH(MAX(B16:D16),B16:D16,0))</f>
        <v>Z</v>
      </c>
    </row>
    <row r="17">
      <c r="A17" s="25">
        <v>3.0</v>
      </c>
      <c r="B17" s="25">
        <v>5.29</v>
      </c>
      <c r="C17" s="25">
        <f>5.29+0.568966-0.69397-0.30603+0.12069</f>
        <v>4.979656</v>
      </c>
      <c r="D17" s="25">
        <f>5.29+0.568966-0.43534</f>
        <v>5.423626</v>
      </c>
      <c r="E17" s="25" t="str">
        <f t="array" ref="E17">INDEX({"X","Y","Z"},MATCH(MAX(B17:D17),B17:D17,0))</f>
        <v>Z</v>
      </c>
    </row>
    <row r="18">
      <c r="A18" s="25">
        <v>4.0</v>
      </c>
      <c r="B18" s="25">
        <v>6.54</v>
      </c>
      <c r="C18" s="25">
        <f>6.54-2.24353-1.13147+0.256466-0.75431</f>
        <v>2.667156</v>
      </c>
      <c r="D18" s="25">
        <f>6.54-2.24353-0.24784</f>
        <v>4.04863</v>
      </c>
      <c r="E18" s="25" t="str">
        <f t="array" ref="E18">INDEX({"X","Y","Z"},MATCH(MAX(B18:D18),B18:D18,0))</f>
        <v>X</v>
      </c>
    </row>
    <row r="19">
      <c r="A19" s="25">
        <v>5.0</v>
      </c>
      <c r="B19" s="25">
        <v>6.16</v>
      </c>
      <c r="C19" s="25">
        <f>6.16-2.00826+0.258261-0.63326-0.6056</f>
        <v>3.171141</v>
      </c>
      <c r="D19" s="25">
        <f>6.16-2.00826-0.48886</f>
        <v>3.66288</v>
      </c>
      <c r="E19" s="25" t="str">
        <f t="array" ref="E19">INDEX({"X","Y","Z"},MATCH(MAX(B19:D19),B19:D19,0))</f>
        <v>X</v>
      </c>
    </row>
    <row r="20">
      <c r="A20" s="25">
        <v>6.0</v>
      </c>
      <c r="B20" s="25">
        <v>6.21</v>
      </c>
      <c r="C20" s="25">
        <f>6.21-0.81214+0.062141+0.187859-0.15302</f>
        <v>5.49484</v>
      </c>
      <c r="D20" s="25">
        <f>6.21-0.81214-0.21516</f>
        <v>5.1827</v>
      </c>
      <c r="E20" s="25" t="str">
        <f t="array" ref="E20">INDEX({"X","Y","Z"},MATCH(MAX(B20:D20),B20:D20,0))</f>
        <v>X</v>
      </c>
    </row>
    <row r="21">
      <c r="A21" s="25">
        <v>7.0</v>
      </c>
      <c r="B21" s="3">
        <f>6.04+0+0+0+0+0</f>
        <v>6.04</v>
      </c>
      <c r="C21" s="25">
        <f>6.04+0.2906-0.1659-0.0844-0.6659</f>
        <v>5.4144</v>
      </c>
      <c r="D21" s="25">
        <f>6.04+0.290589+1.249641</f>
        <v>7.58023</v>
      </c>
      <c r="E21" s="25" t="str">
        <f t="array" ref="E21">INDEX({"X","Y","Z"},MATCH(MAX(B21:D21),B21:D21,0))</f>
        <v>Z</v>
      </c>
    </row>
    <row r="22">
      <c r="A22" s="25">
        <v>8.0</v>
      </c>
      <c r="B22" s="25">
        <v>5.31</v>
      </c>
      <c r="C22" s="25">
        <f>5.31-0.8574-0.1426+0.267601-0.37284</f>
        <v>4.204761</v>
      </c>
      <c r="D22" s="25">
        <f>5.31-0.8574+0.144756</f>
        <v>4.597356</v>
      </c>
      <c r="E22" s="25" t="str">
        <f t="array" ref="E22">INDEX({"X","Y","Z"},MATCH(MAX(B22:D22),B22:D22,0))</f>
        <v>X</v>
      </c>
    </row>
    <row r="23">
      <c r="A23" s="25">
        <v>9.0</v>
      </c>
      <c r="B23" s="25">
        <v>6.16</v>
      </c>
      <c r="C23" s="25">
        <f>6.16-2.25036-0.62464+0.499641+0.278017</f>
        <v>4.062658</v>
      </c>
      <c r="D23" s="25">
        <f>6.16-2.25036-0.22234</f>
        <v>3.6873</v>
      </c>
      <c r="E23" s="25" t="str">
        <f t="array" ref="E23">INDEX({"X","Y","Z"},MATCH(MAX(B23:D23),B23:D23,0))</f>
        <v>X</v>
      </c>
    </row>
    <row r="24">
      <c r="A24" s="25">
        <v>10.0</v>
      </c>
      <c r="B24" s="25">
        <v>6.19</v>
      </c>
      <c r="C24" s="25">
        <f>6.19-3.22557-1.02443-1.10057+0.844828</f>
        <v>1.684258</v>
      </c>
      <c r="D24" s="25">
        <f>6.19-3.22557-1.25575</f>
        <v>1.70868</v>
      </c>
      <c r="E24" s="25" t="str">
        <f t="array" ref="E24">INDEX({"X","Y","Z"},MATCH(MAX(B24:D24),B24:D24,0))</f>
        <v>X</v>
      </c>
    </row>
    <row r="25">
      <c r="A25" s="8" t="s">
        <v>233</v>
      </c>
      <c r="B25" s="73">
        <f>COUNTIF($E$15:$E$24,"X")/10</f>
        <v>0.7</v>
      </c>
      <c r="C25" s="25">
        <f>COUNTIF($E$15:$E$24,"Y")/10</f>
        <v>0</v>
      </c>
      <c r="D25" s="73">
        <f>COUNTIF($E$15:$E$24,"Z")/10</f>
        <v>0.3</v>
      </c>
    </row>
    <row r="26">
      <c r="B26" s="73"/>
      <c r="D26" s="73"/>
    </row>
    <row r="27">
      <c r="A27" s="25" t="s">
        <v>229</v>
      </c>
      <c r="B27" s="25" t="s">
        <v>230</v>
      </c>
      <c r="C27" s="25" t="s">
        <v>231</v>
      </c>
      <c r="D27" s="8" t="s">
        <v>236</v>
      </c>
      <c r="E27" s="25" t="s">
        <v>232</v>
      </c>
    </row>
    <row r="28">
      <c r="A28" s="25">
        <v>1.0</v>
      </c>
      <c r="B28" s="3">
        <v>5.87</v>
      </c>
      <c r="C28" s="25">
        <f>5.87-2.0431+0.293103-0.1681+0.112069</f>
        <v>4.063972</v>
      </c>
      <c r="D28" s="25">
        <f>5.87-2.13793+0.112069</f>
        <v>3.844139</v>
      </c>
      <c r="E28" s="25" t="str">
        <f t="array" ref="E28">INDEX({"X","Y","Z"},MATCH(MAX(B28:D28),B28:D28,0))</f>
        <v>X</v>
      </c>
    </row>
    <row r="29">
      <c r="A29" s="25">
        <v>2.0</v>
      </c>
      <c r="B29" s="25">
        <v>4.44</v>
      </c>
      <c r="C29" s="25">
        <f>4.44+0.219828-0.96983-0.90517-0.39655</f>
        <v>2.388278</v>
      </c>
      <c r="D29" s="25">
        <f>4.44-0.64655-0.39655</f>
        <v>3.3969</v>
      </c>
      <c r="E29" s="25" t="str">
        <f t="array" ref="E29">INDEX({"X","Y","Z"},MATCH(MAX(B29:D29),B29:D29,0))</f>
        <v>X</v>
      </c>
    </row>
    <row r="30">
      <c r="A30" s="25">
        <v>3.0</v>
      </c>
      <c r="B30" s="25">
        <v>5.29</v>
      </c>
      <c r="C30" s="25">
        <f>5.29+0.568966-0.69397-0.30603+0.12069</f>
        <v>4.979656</v>
      </c>
      <c r="D30" s="25">
        <f>5.29-1.12931+0.12069</f>
        <v>4.28138</v>
      </c>
      <c r="E30" s="25" t="str">
        <f t="array" ref="E30">INDEX({"X","Y","Z"},MATCH(MAX(B30:D30),B30:D30,0))</f>
        <v>X</v>
      </c>
    </row>
    <row r="31">
      <c r="A31" s="25">
        <v>4.0</v>
      </c>
      <c r="B31" s="25">
        <v>6.54</v>
      </c>
      <c r="C31" s="25">
        <f>6.54-2.24353-1.13147+0.256466-0.75431</f>
        <v>2.667156</v>
      </c>
      <c r="D31" s="25">
        <f>6.54-0.75431-0.75431</f>
        <v>5.03138</v>
      </c>
      <c r="E31" s="25" t="str">
        <f t="array" ref="E31">INDEX({"X","Y","Z"},MATCH(MAX(B31:D31),B31:D31,0))</f>
        <v>X</v>
      </c>
    </row>
    <row r="32">
      <c r="A32" s="25">
        <v>5.0</v>
      </c>
      <c r="B32" s="25">
        <v>6.16</v>
      </c>
      <c r="C32" s="25">
        <f>6.16-2.00826+0.258261-0.63326-0.6056</f>
        <v>3.171141</v>
      </c>
      <c r="D32" s="25">
        <f>6.16-0.1056-0.6056</f>
        <v>5.4488</v>
      </c>
      <c r="E32" s="25" t="str">
        <f t="array" ref="E32">INDEX({"X","Y","Z"},MATCH(MAX(B32:D32),B32:D32,0))</f>
        <v>X</v>
      </c>
    </row>
    <row r="33">
      <c r="A33" s="25">
        <v>6.0</v>
      </c>
      <c r="B33" s="25">
        <v>6.21</v>
      </c>
      <c r="C33" s="25">
        <f>6.21-0.81214+0.062141+0.187859-0.15302</f>
        <v>5.49484</v>
      </c>
      <c r="D33" s="25">
        <f>6.21+0.096983-0.15302</f>
        <v>6.153963</v>
      </c>
      <c r="E33" s="25" t="str">
        <f t="array" ref="E33">INDEX({"X","Y","Z"},MATCH(MAX(B33:D33),B33:D33,0))</f>
        <v>X</v>
      </c>
    </row>
    <row r="34">
      <c r="A34" s="25">
        <v>7.0</v>
      </c>
      <c r="B34" s="3">
        <f>6.04+0+0+0+0+0</f>
        <v>6.04</v>
      </c>
      <c r="C34" s="25">
        <f>6.04+0.2906-0.1659-0.0844-0.6659</f>
        <v>5.4144</v>
      </c>
      <c r="D34" s="25">
        <f>6.04-0.16595-0.66595</f>
        <v>5.2081</v>
      </c>
      <c r="E34" s="25" t="str">
        <f t="array" ref="E34">INDEX({"X","Y","Z"},MATCH(MAX(B34:D34),B34:D34,0))</f>
        <v>X</v>
      </c>
    </row>
    <row r="35">
      <c r="A35" s="25">
        <v>8.0</v>
      </c>
      <c r="B35" s="25">
        <v>5.31</v>
      </c>
      <c r="C35" s="25">
        <f>5.31-0.8574-0.1426+0.267601-0.37284</f>
        <v>4.204761</v>
      </c>
      <c r="D35" s="25">
        <f>5.31-0.37284-0.37284</f>
        <v>4.56432</v>
      </c>
      <c r="E35" s="25" t="str">
        <f t="array" ref="E35">INDEX({"X","Y","Z"},MATCH(MAX(B35:D35),B35:D35,0))</f>
        <v>X</v>
      </c>
    </row>
    <row r="36">
      <c r="A36" s="25">
        <v>9.0</v>
      </c>
      <c r="B36" s="25">
        <v>6.16</v>
      </c>
      <c r="C36" s="25">
        <f>6.16-2.25036-0.62464+0.499641+0.278017</f>
        <v>4.062658</v>
      </c>
      <c r="D36" s="25">
        <f>6.16-0.47198+0.278017</f>
        <v>5.966037</v>
      </c>
      <c r="E36" s="25" t="str">
        <f t="array" ref="E36">INDEX({"X","Y","Z"},MATCH(MAX(B36:D36),B36:D36,0))</f>
        <v>X</v>
      </c>
    </row>
    <row r="37">
      <c r="A37" s="25">
        <v>10.0</v>
      </c>
      <c r="B37" s="25">
        <v>6.19</v>
      </c>
      <c r="C37" s="25">
        <f>6.19-3.22557-1.02443-1.10057+0.844828</f>
        <v>1.684258</v>
      </c>
      <c r="D37" s="25">
        <f>6.19-0.90517+0.844828</f>
        <v>6.129658</v>
      </c>
      <c r="E37" s="25" t="str">
        <f t="array" ref="E37">INDEX({"X","Y","Z"},MATCH(MAX(B37:D37),B37:D37,0))</f>
        <v>X</v>
      </c>
    </row>
    <row r="38">
      <c r="A38" s="8" t="s">
        <v>233</v>
      </c>
      <c r="B38" s="73">
        <f>COUNTIF($E$28:$E$37,"X")/10</f>
        <v>1</v>
      </c>
      <c r="C38" s="25">
        <f>COUNTIF($E$28:$E$37,"Y")/10</f>
        <v>0</v>
      </c>
      <c r="D38" s="73">
        <f>COUNTIF($E$28:$E$37,"Z")/10</f>
        <v>0</v>
      </c>
    </row>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18.13"/>
    <col customWidth="1" min="3" max="3" width="36.38"/>
    <col customWidth="1" min="4" max="26" width="9.13"/>
  </cols>
  <sheetData>
    <row r="1"/>
    <row r="2">
      <c r="B2" s="38" t="s">
        <v>237</v>
      </c>
      <c r="C2" s="105"/>
      <c r="D2" s="106">
        <v>2.0</v>
      </c>
    </row>
    <row r="3"/>
    <row r="4">
      <c r="B4" s="107"/>
      <c r="C4" s="108"/>
      <c r="D4" s="109" t="s">
        <v>238</v>
      </c>
      <c r="E4" s="110" t="s">
        <v>239</v>
      </c>
    </row>
    <row r="5">
      <c r="B5" s="111" t="s">
        <v>240</v>
      </c>
      <c r="C5" s="112"/>
      <c r="D5" s="113">
        <v>1.0</v>
      </c>
      <c r="E5" s="114">
        <v>0.0</v>
      </c>
    </row>
    <row r="6">
      <c r="B6" s="115" t="s">
        <v>241</v>
      </c>
      <c r="C6" s="81"/>
      <c r="D6" s="116">
        <v>10.0</v>
      </c>
      <c r="E6" s="117">
        <v>0.0</v>
      </c>
    </row>
    <row r="7"/>
    <row r="8">
      <c r="B8" s="107"/>
      <c r="C8" s="108"/>
      <c r="D8" s="118" t="s">
        <v>242</v>
      </c>
      <c r="E8" s="119"/>
    </row>
    <row r="9">
      <c r="B9" s="120" t="s">
        <v>243</v>
      </c>
      <c r="C9" s="121" t="s">
        <v>244</v>
      </c>
      <c r="D9" s="121" t="s">
        <v>238</v>
      </c>
      <c r="E9" s="122" t="s">
        <v>239</v>
      </c>
    </row>
    <row r="10">
      <c r="B10" s="123" t="s">
        <v>145</v>
      </c>
      <c r="C10" s="124">
        <v>0.0</v>
      </c>
      <c r="D10" s="125" t="s">
        <v>238</v>
      </c>
      <c r="E10" s="126"/>
    </row>
    <row r="11">
      <c r="B11" s="127"/>
      <c r="C11" s="124">
        <v>50.0</v>
      </c>
      <c r="D11" s="125"/>
      <c r="E11" s="126"/>
    </row>
    <row r="12">
      <c r="B12" s="128"/>
      <c r="C12" s="124">
        <v>100.0</v>
      </c>
      <c r="D12" s="125"/>
      <c r="E12" s="126" t="s">
        <v>238</v>
      </c>
    </row>
    <row r="13">
      <c r="B13" s="129" t="s">
        <v>146</v>
      </c>
      <c r="C13" s="121" t="s">
        <v>147</v>
      </c>
      <c r="D13" s="121" t="s">
        <v>238</v>
      </c>
      <c r="E13" s="122"/>
    </row>
    <row r="14">
      <c r="B14" s="127"/>
      <c r="C14" s="121" t="s">
        <v>164</v>
      </c>
      <c r="D14" s="121"/>
      <c r="E14" s="122"/>
    </row>
    <row r="15">
      <c r="B15" s="128"/>
      <c r="C15" s="121" t="s">
        <v>166</v>
      </c>
      <c r="D15" s="121"/>
      <c r="E15" s="122" t="s">
        <v>238</v>
      </c>
    </row>
    <row r="16">
      <c r="B16" s="123" t="s">
        <v>148</v>
      </c>
      <c r="C16" s="125" t="s">
        <v>149</v>
      </c>
      <c r="D16" s="125" t="s">
        <v>238</v>
      </c>
      <c r="E16" s="126" t="s">
        <v>238</v>
      </c>
    </row>
    <row r="17">
      <c r="B17" s="128"/>
      <c r="C17" s="125" t="s">
        <v>140</v>
      </c>
      <c r="D17" s="125"/>
      <c r="E17" s="126"/>
    </row>
    <row r="18">
      <c r="B18" s="129" t="s">
        <v>173</v>
      </c>
      <c r="C18" s="121" t="s">
        <v>151</v>
      </c>
      <c r="D18" s="121" t="s">
        <v>238</v>
      </c>
      <c r="E18" s="122"/>
    </row>
    <row r="19">
      <c r="B19" s="127"/>
      <c r="C19" s="121" t="s">
        <v>141</v>
      </c>
      <c r="D19" s="121"/>
      <c r="E19" s="122" t="s">
        <v>238</v>
      </c>
    </row>
    <row r="20">
      <c r="B20" s="128"/>
      <c r="C20" s="121" t="s">
        <v>142</v>
      </c>
      <c r="D20" s="121"/>
      <c r="E20" s="122"/>
    </row>
    <row r="21">
      <c r="B21" s="123" t="s">
        <v>177</v>
      </c>
      <c r="C21" s="130">
        <v>0.15</v>
      </c>
      <c r="D21" s="125" t="s">
        <v>238</v>
      </c>
      <c r="E21" s="126"/>
    </row>
    <row r="22">
      <c r="B22" s="127"/>
      <c r="C22" s="130">
        <v>0.2</v>
      </c>
      <c r="D22" s="125"/>
      <c r="E22" s="126" t="s">
        <v>238</v>
      </c>
    </row>
    <row r="23">
      <c r="B23" s="131"/>
      <c r="C23" s="132">
        <v>0.25</v>
      </c>
      <c r="D23" s="133"/>
      <c r="E23" s="134"/>
    </row>
    <row r="27">
      <c r="B27" s="38" t="s">
        <v>237</v>
      </c>
      <c r="C27" s="105"/>
      <c r="D27" s="106">
        <v>3.0</v>
      </c>
    </row>
    <row r="29">
      <c r="B29" s="107"/>
      <c r="C29" s="108"/>
      <c r="D29" s="109" t="s">
        <v>238</v>
      </c>
      <c r="E29" s="109" t="s">
        <v>239</v>
      </c>
      <c r="F29" s="110" t="s">
        <v>245</v>
      </c>
    </row>
    <row r="30">
      <c r="B30" s="111" t="s">
        <v>240</v>
      </c>
      <c r="C30" s="112"/>
      <c r="D30" s="113">
        <v>0.8</v>
      </c>
      <c r="E30" s="113">
        <v>0.0</v>
      </c>
      <c r="F30" s="114">
        <v>0.2</v>
      </c>
    </row>
    <row r="31">
      <c r="B31" s="115" t="s">
        <v>241</v>
      </c>
      <c r="C31" s="81"/>
      <c r="D31" s="116">
        <v>8.0</v>
      </c>
      <c r="E31" s="116">
        <v>0.0</v>
      </c>
      <c r="F31" s="117">
        <v>2.0</v>
      </c>
    </row>
    <row r="33">
      <c r="B33" s="107"/>
      <c r="C33" s="108"/>
      <c r="D33" s="118" t="s">
        <v>242</v>
      </c>
      <c r="E33" s="43"/>
      <c r="F33" s="119"/>
    </row>
    <row r="34">
      <c r="B34" s="120" t="s">
        <v>243</v>
      </c>
      <c r="C34" s="121" t="s">
        <v>244</v>
      </c>
      <c r="D34" s="121" t="s">
        <v>238</v>
      </c>
      <c r="E34" s="121" t="s">
        <v>239</v>
      </c>
      <c r="F34" s="122" t="s">
        <v>245</v>
      </c>
    </row>
    <row r="35">
      <c r="B35" s="123" t="s">
        <v>145</v>
      </c>
      <c r="C35" s="124">
        <v>0.0</v>
      </c>
      <c r="D35" s="125" t="s">
        <v>238</v>
      </c>
      <c r="E35" s="125"/>
      <c r="F35" s="126"/>
    </row>
    <row r="36">
      <c r="B36" s="127"/>
      <c r="C36" s="124">
        <v>50.0</v>
      </c>
      <c r="D36" s="125"/>
      <c r="E36" s="125"/>
      <c r="F36" s="126" t="s">
        <v>238</v>
      </c>
    </row>
    <row r="37">
      <c r="B37" s="128"/>
      <c r="C37" s="124">
        <v>100.0</v>
      </c>
      <c r="D37" s="125"/>
      <c r="E37" s="125" t="s">
        <v>238</v>
      </c>
      <c r="F37" s="126"/>
    </row>
    <row r="38">
      <c r="B38" s="129" t="s">
        <v>146</v>
      </c>
      <c r="C38" s="121" t="s">
        <v>147</v>
      </c>
      <c r="D38" s="121" t="s">
        <v>238</v>
      </c>
      <c r="E38" s="121"/>
      <c r="F38" s="122"/>
    </row>
    <row r="39">
      <c r="B39" s="127"/>
      <c r="C39" s="121" t="s">
        <v>164</v>
      </c>
      <c r="D39" s="121"/>
      <c r="E39" s="121"/>
      <c r="F39" s="122" t="s">
        <v>238</v>
      </c>
    </row>
    <row r="40">
      <c r="B40" s="128"/>
      <c r="C40" s="121" t="s">
        <v>166</v>
      </c>
      <c r="D40" s="121"/>
      <c r="E40" s="121" t="s">
        <v>238</v>
      </c>
      <c r="F40" s="122"/>
    </row>
    <row r="41">
      <c r="B41" s="123" t="s">
        <v>148</v>
      </c>
      <c r="C41" s="125" t="s">
        <v>149</v>
      </c>
      <c r="D41" s="125" t="s">
        <v>238</v>
      </c>
      <c r="E41" s="125" t="s">
        <v>238</v>
      </c>
      <c r="F41" s="126" t="s">
        <v>238</v>
      </c>
    </row>
    <row r="42">
      <c r="B42" s="128"/>
      <c r="C42" s="125" t="s">
        <v>140</v>
      </c>
      <c r="D42" s="125"/>
      <c r="E42" s="125"/>
      <c r="F42" s="126"/>
    </row>
    <row r="43">
      <c r="B43" s="129" t="s">
        <v>173</v>
      </c>
      <c r="C43" s="121" t="s">
        <v>151</v>
      </c>
      <c r="D43" s="121" t="s">
        <v>238</v>
      </c>
      <c r="E43" s="121"/>
      <c r="F43" s="122"/>
    </row>
    <row r="44">
      <c r="B44" s="127"/>
      <c r="C44" s="121" t="s">
        <v>141</v>
      </c>
      <c r="D44" s="121"/>
      <c r="E44" s="121" t="s">
        <v>238</v>
      </c>
      <c r="F44" s="122"/>
    </row>
    <row r="45">
      <c r="B45" s="128"/>
      <c r="C45" s="121" t="s">
        <v>142</v>
      </c>
      <c r="D45" s="121"/>
      <c r="E45" s="121"/>
      <c r="F45" s="122" t="s">
        <v>238</v>
      </c>
    </row>
    <row r="46">
      <c r="B46" s="123" t="s">
        <v>177</v>
      </c>
      <c r="C46" s="130">
        <v>0.15</v>
      </c>
      <c r="D46" s="125" t="s">
        <v>238</v>
      </c>
      <c r="E46" s="125"/>
      <c r="F46" s="126" t="s">
        <v>238</v>
      </c>
    </row>
    <row r="47">
      <c r="B47" s="127"/>
      <c r="C47" s="130">
        <v>0.2</v>
      </c>
      <c r="D47" s="125"/>
      <c r="E47" s="125" t="s">
        <v>238</v>
      </c>
      <c r="F47" s="126"/>
    </row>
    <row r="48">
      <c r="B48" s="131"/>
      <c r="C48" s="132">
        <v>0.25</v>
      </c>
      <c r="D48" s="133"/>
      <c r="E48" s="133"/>
      <c r="F48" s="134"/>
    </row>
    <row r="52">
      <c r="B52" s="38" t="s">
        <v>237</v>
      </c>
      <c r="C52" s="105"/>
      <c r="D52" s="106">
        <v>3.0</v>
      </c>
    </row>
    <row r="54">
      <c r="B54" s="107"/>
      <c r="C54" s="108"/>
      <c r="D54" s="109" t="s">
        <v>238</v>
      </c>
      <c r="E54" s="109" t="s">
        <v>239</v>
      </c>
      <c r="F54" s="110" t="s">
        <v>246</v>
      </c>
    </row>
    <row r="55">
      <c r="B55" s="111" t="s">
        <v>240</v>
      </c>
      <c r="C55" s="112"/>
      <c r="D55" s="113">
        <v>0.7</v>
      </c>
      <c r="E55" s="113">
        <v>0.0</v>
      </c>
      <c r="F55" s="114">
        <v>0.3</v>
      </c>
    </row>
    <row r="56">
      <c r="B56" s="115" t="s">
        <v>241</v>
      </c>
      <c r="C56" s="81"/>
      <c r="D56" s="116">
        <v>7.0</v>
      </c>
      <c r="E56" s="116">
        <v>0.0</v>
      </c>
      <c r="F56" s="117">
        <v>3.0</v>
      </c>
    </row>
    <row r="58">
      <c r="B58" s="107"/>
      <c r="C58" s="108"/>
      <c r="D58" s="118" t="s">
        <v>242</v>
      </c>
      <c r="E58" s="43"/>
      <c r="F58" s="119"/>
    </row>
    <row r="59">
      <c r="B59" s="120" t="s">
        <v>243</v>
      </c>
      <c r="C59" s="121" t="s">
        <v>244</v>
      </c>
      <c r="D59" s="121" t="s">
        <v>238</v>
      </c>
      <c r="E59" s="121" t="s">
        <v>239</v>
      </c>
      <c r="F59" s="122" t="s">
        <v>246</v>
      </c>
    </row>
    <row r="60">
      <c r="B60" s="123" t="s">
        <v>145</v>
      </c>
      <c r="C60" s="124">
        <v>0.0</v>
      </c>
      <c r="D60" s="125" t="s">
        <v>238</v>
      </c>
      <c r="E60" s="125"/>
      <c r="F60" s="126"/>
    </row>
    <row r="61">
      <c r="B61" s="127"/>
      <c r="C61" s="124">
        <v>50.0</v>
      </c>
      <c r="D61" s="125"/>
      <c r="E61" s="125"/>
      <c r="F61" s="126"/>
    </row>
    <row r="62">
      <c r="B62" s="128"/>
      <c r="C62" s="124">
        <v>100.0</v>
      </c>
      <c r="D62" s="125"/>
      <c r="E62" s="125" t="s">
        <v>238</v>
      </c>
      <c r="F62" s="126" t="s">
        <v>238</v>
      </c>
    </row>
    <row r="63">
      <c r="B63" s="129" t="s">
        <v>146</v>
      </c>
      <c r="C63" s="121" t="s">
        <v>147</v>
      </c>
      <c r="D63" s="121" t="s">
        <v>238</v>
      </c>
      <c r="E63" s="121"/>
      <c r="F63" s="122" t="s">
        <v>238</v>
      </c>
    </row>
    <row r="64">
      <c r="B64" s="127"/>
      <c r="C64" s="121" t="s">
        <v>164</v>
      </c>
      <c r="D64" s="121"/>
      <c r="E64" s="121"/>
      <c r="F64" s="122"/>
    </row>
    <row r="65">
      <c r="B65" s="128"/>
      <c r="C65" s="121" t="s">
        <v>166</v>
      </c>
      <c r="D65" s="121"/>
      <c r="E65" s="121" t="s">
        <v>238</v>
      </c>
      <c r="F65" s="122"/>
    </row>
    <row r="66">
      <c r="B66" s="123" t="s">
        <v>148</v>
      </c>
      <c r="C66" s="125" t="s">
        <v>149</v>
      </c>
      <c r="D66" s="125" t="s">
        <v>238</v>
      </c>
      <c r="E66" s="125" t="s">
        <v>238</v>
      </c>
      <c r="F66" s="126" t="s">
        <v>238</v>
      </c>
    </row>
    <row r="67">
      <c r="B67" s="128"/>
      <c r="C67" s="125" t="s">
        <v>140</v>
      </c>
      <c r="D67" s="125"/>
      <c r="E67" s="125"/>
      <c r="F67" s="126"/>
    </row>
    <row r="68">
      <c r="B68" s="129" t="s">
        <v>173</v>
      </c>
      <c r="C68" s="121" t="s">
        <v>151</v>
      </c>
      <c r="D68" s="121" t="s">
        <v>238</v>
      </c>
      <c r="E68" s="121"/>
      <c r="F68" s="122"/>
    </row>
    <row r="69">
      <c r="B69" s="127"/>
      <c r="C69" s="121" t="s">
        <v>141</v>
      </c>
      <c r="D69" s="121"/>
      <c r="E69" s="121" t="s">
        <v>238</v>
      </c>
      <c r="F69" s="122"/>
    </row>
    <row r="70">
      <c r="B70" s="128"/>
      <c r="C70" s="121" t="s">
        <v>142</v>
      </c>
      <c r="D70" s="121"/>
      <c r="E70" s="121"/>
      <c r="F70" s="122" t="s">
        <v>238</v>
      </c>
    </row>
    <row r="71">
      <c r="B71" s="123" t="s">
        <v>177</v>
      </c>
      <c r="C71" s="130">
        <v>0.15</v>
      </c>
      <c r="D71" s="125" t="s">
        <v>238</v>
      </c>
      <c r="E71" s="125"/>
      <c r="F71" s="126" t="s">
        <v>238</v>
      </c>
    </row>
    <row r="72">
      <c r="B72" s="127"/>
      <c r="C72" s="130">
        <v>0.2</v>
      </c>
      <c r="D72" s="125"/>
      <c r="E72" s="125" t="s">
        <v>238</v>
      </c>
      <c r="F72" s="126"/>
    </row>
    <row r="73">
      <c r="B73" s="131"/>
      <c r="C73" s="132">
        <v>0.25</v>
      </c>
      <c r="D73" s="133"/>
      <c r="E73" s="133"/>
      <c r="F73" s="134"/>
    </row>
    <row r="77">
      <c r="B77" s="38" t="s">
        <v>237</v>
      </c>
      <c r="C77" s="105"/>
      <c r="D77" s="106">
        <v>3.0</v>
      </c>
    </row>
    <row r="79">
      <c r="B79" s="107"/>
      <c r="C79" s="108"/>
      <c r="D79" s="109" t="s">
        <v>238</v>
      </c>
      <c r="E79" s="109" t="s">
        <v>239</v>
      </c>
      <c r="F79" s="110" t="s">
        <v>247</v>
      </c>
    </row>
    <row r="80">
      <c r="B80" s="111" t="s">
        <v>240</v>
      </c>
      <c r="C80" s="112"/>
      <c r="D80" s="113">
        <v>1.0</v>
      </c>
      <c r="E80" s="113">
        <v>0.0</v>
      </c>
      <c r="F80" s="114">
        <v>0.0</v>
      </c>
    </row>
    <row r="81">
      <c r="B81" s="115" t="s">
        <v>241</v>
      </c>
      <c r="C81" s="81"/>
      <c r="D81" s="116">
        <v>10.0</v>
      </c>
      <c r="E81" s="116">
        <v>0.0</v>
      </c>
      <c r="F81" s="117">
        <v>0.0</v>
      </c>
    </row>
    <row r="83">
      <c r="B83" s="107"/>
      <c r="C83" s="108"/>
      <c r="D83" s="118" t="s">
        <v>242</v>
      </c>
      <c r="E83" s="43"/>
      <c r="F83" s="119"/>
    </row>
    <row r="84">
      <c r="B84" s="120" t="s">
        <v>243</v>
      </c>
      <c r="C84" s="121" t="s">
        <v>244</v>
      </c>
      <c r="D84" s="121" t="s">
        <v>238</v>
      </c>
      <c r="E84" s="121" t="s">
        <v>239</v>
      </c>
      <c r="F84" s="122" t="s">
        <v>247</v>
      </c>
    </row>
    <row r="85">
      <c r="B85" s="123" t="s">
        <v>145</v>
      </c>
      <c r="C85" s="124">
        <v>0.0</v>
      </c>
      <c r="D85" s="125" t="s">
        <v>238</v>
      </c>
      <c r="E85" s="125"/>
      <c r="F85" s="126" t="s">
        <v>238</v>
      </c>
    </row>
    <row r="86">
      <c r="B86" s="127"/>
      <c r="C86" s="124">
        <v>50.0</v>
      </c>
      <c r="D86" s="125"/>
      <c r="E86" s="125"/>
      <c r="F86" s="126"/>
    </row>
    <row r="87">
      <c r="B87" s="128"/>
      <c r="C87" s="124">
        <v>100.0</v>
      </c>
      <c r="D87" s="125"/>
      <c r="E87" s="125" t="s">
        <v>238</v>
      </c>
      <c r="F87" s="126"/>
    </row>
    <row r="88">
      <c r="B88" s="129" t="s">
        <v>146</v>
      </c>
      <c r="C88" s="121" t="s">
        <v>147</v>
      </c>
      <c r="D88" s="121" t="s">
        <v>238</v>
      </c>
      <c r="E88" s="121"/>
      <c r="F88" s="122"/>
    </row>
    <row r="89">
      <c r="B89" s="127"/>
      <c r="C89" s="121" t="s">
        <v>164</v>
      </c>
      <c r="D89" s="121"/>
      <c r="E89" s="121"/>
      <c r="F89" s="122" t="s">
        <v>238</v>
      </c>
    </row>
    <row r="90">
      <c r="B90" s="128"/>
      <c r="C90" s="121" t="s">
        <v>166</v>
      </c>
      <c r="D90" s="121"/>
      <c r="E90" s="121" t="s">
        <v>238</v>
      </c>
      <c r="F90" s="122"/>
    </row>
    <row r="91">
      <c r="B91" s="123" t="s">
        <v>148</v>
      </c>
      <c r="C91" s="125" t="s">
        <v>149</v>
      </c>
      <c r="D91" s="125" t="s">
        <v>238</v>
      </c>
      <c r="E91" s="125" t="s">
        <v>238</v>
      </c>
      <c r="F91" s="126" t="s">
        <v>238</v>
      </c>
    </row>
    <row r="92">
      <c r="B92" s="128"/>
      <c r="C92" s="125" t="s">
        <v>140</v>
      </c>
      <c r="D92" s="125"/>
      <c r="E92" s="125"/>
      <c r="F92" s="126"/>
    </row>
    <row r="93">
      <c r="B93" s="129" t="s">
        <v>173</v>
      </c>
      <c r="C93" s="121" t="s">
        <v>151</v>
      </c>
      <c r="D93" s="121" t="s">
        <v>238</v>
      </c>
      <c r="E93" s="121"/>
      <c r="F93" s="122" t="s">
        <v>238</v>
      </c>
    </row>
    <row r="94">
      <c r="B94" s="127"/>
      <c r="C94" s="121" t="s">
        <v>141</v>
      </c>
      <c r="D94" s="121"/>
      <c r="E94" s="121" t="s">
        <v>238</v>
      </c>
      <c r="F94" s="122"/>
    </row>
    <row r="95">
      <c r="B95" s="128"/>
      <c r="C95" s="121" t="s">
        <v>142</v>
      </c>
      <c r="D95" s="121"/>
      <c r="E95" s="121"/>
      <c r="F95" s="122"/>
    </row>
    <row r="96">
      <c r="B96" s="123" t="s">
        <v>177</v>
      </c>
      <c r="C96" s="130">
        <v>0.15</v>
      </c>
      <c r="D96" s="125" t="s">
        <v>238</v>
      </c>
      <c r="E96" s="125"/>
      <c r="F96" s="126"/>
    </row>
    <row r="97">
      <c r="B97" s="127"/>
      <c r="C97" s="130">
        <v>0.2</v>
      </c>
      <c r="D97" s="125"/>
      <c r="E97" s="125" t="s">
        <v>238</v>
      </c>
      <c r="F97" s="126" t="s">
        <v>238</v>
      </c>
    </row>
    <row r="98">
      <c r="B98" s="131"/>
      <c r="C98" s="132">
        <v>0.25</v>
      </c>
      <c r="D98" s="133"/>
      <c r="E98" s="133"/>
      <c r="F98" s="134"/>
    </row>
  </sheetData>
  <mergeCells count="44">
    <mergeCell ref="B2:C2"/>
    <mergeCell ref="B4:C4"/>
    <mergeCell ref="B5:C5"/>
    <mergeCell ref="B6:C6"/>
    <mergeCell ref="B8:C8"/>
    <mergeCell ref="D8:E8"/>
    <mergeCell ref="B10:B12"/>
    <mergeCell ref="B31:C31"/>
    <mergeCell ref="B33:C33"/>
    <mergeCell ref="D33:F33"/>
    <mergeCell ref="B13:B15"/>
    <mergeCell ref="B16:B17"/>
    <mergeCell ref="B18:B20"/>
    <mergeCell ref="B21:B23"/>
    <mergeCell ref="B27:C27"/>
    <mergeCell ref="B29:C29"/>
    <mergeCell ref="B30:C30"/>
    <mergeCell ref="B55:C55"/>
    <mergeCell ref="B56:C56"/>
    <mergeCell ref="B58:C58"/>
    <mergeCell ref="D58:F58"/>
    <mergeCell ref="B35:B37"/>
    <mergeCell ref="B38:B40"/>
    <mergeCell ref="B41:B42"/>
    <mergeCell ref="B43:B45"/>
    <mergeCell ref="B46:B48"/>
    <mergeCell ref="B52:C52"/>
    <mergeCell ref="B54:C54"/>
    <mergeCell ref="B80:C80"/>
    <mergeCell ref="B81:C81"/>
    <mergeCell ref="B83:C83"/>
    <mergeCell ref="D83:F83"/>
    <mergeCell ref="B85:B87"/>
    <mergeCell ref="B88:B90"/>
    <mergeCell ref="B91:B92"/>
    <mergeCell ref="B93:B95"/>
    <mergeCell ref="B96:B98"/>
    <mergeCell ref="B60:B62"/>
    <mergeCell ref="B63:B65"/>
    <mergeCell ref="B66:B67"/>
    <mergeCell ref="B68:B70"/>
    <mergeCell ref="B71:B73"/>
    <mergeCell ref="B77:C77"/>
    <mergeCell ref="B79:C79"/>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2002-01-24T07:01:00Z</dcterms:created>
  <dc:creator>maa48</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1033-12.1.22554.22554</vt:lpwstr>
  </property>
  <property fmtid="{D5CDD505-2E9C-101B-9397-08002B2CF9AE}" pid="3" name="ICV">
    <vt:lpwstr>6EE23B339178B01ECFFA10692EEA9998_43</vt:lpwstr>
  </property>
</Properties>
</file>